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ca's Uni Work\DSP\"/>
    </mc:Choice>
  </mc:AlternateContent>
  <xr:revisionPtr revIDLastSave="0" documentId="13_ncr:1_{3AD6841E-1146-4272-ADC0-4BD9F90EB7DF}" xr6:coauthVersionLast="45" xr6:coauthVersionMax="45" xr10:uidLastSave="{00000000-0000-0000-0000-000000000000}"/>
  <bookViews>
    <workbookView xWindow="-120" yWindow="-120" windowWidth="29040" windowHeight="15840" xr2:uid="{27703378-EAE9-4097-A795-58F893274515}"/>
  </bookViews>
  <sheets>
    <sheet name="LowPass Coeffs" sheetId="1" r:id="rId1"/>
    <sheet name="HighPass Coeffs" sheetId="2" r:id="rId2"/>
    <sheet name="BandPass Coef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  <c r="C26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28" i="2"/>
  <c r="N25" i="3"/>
  <c r="C28" i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2" i="2"/>
  <c r="C27" i="3" l="1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G28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2" i="3"/>
  <c r="C7" i="1"/>
  <c r="G5" i="3" l="1"/>
  <c r="C31" i="2"/>
  <c r="C39" i="2"/>
  <c r="C47" i="2"/>
  <c r="C7" i="2"/>
  <c r="C8" i="2"/>
  <c r="C15" i="2"/>
  <c r="C16" i="2"/>
  <c r="C23" i="2"/>
  <c r="C24" i="2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4" i="3"/>
  <c r="G3" i="3"/>
  <c r="B3" i="3"/>
  <c r="B4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G2" i="3"/>
  <c r="G52" i="2"/>
  <c r="C52" i="2" s="1"/>
  <c r="G51" i="2"/>
  <c r="C51" i="2" s="1"/>
  <c r="G50" i="2"/>
  <c r="C50" i="2" s="1"/>
  <c r="G49" i="2"/>
  <c r="C49" i="2" s="1"/>
  <c r="G48" i="2"/>
  <c r="C48" i="2" s="1"/>
  <c r="G47" i="2"/>
  <c r="G46" i="2"/>
  <c r="C46" i="2" s="1"/>
  <c r="G45" i="2"/>
  <c r="C45" i="2" s="1"/>
  <c r="G44" i="2"/>
  <c r="C44" i="2" s="1"/>
  <c r="G43" i="2"/>
  <c r="C43" i="2" s="1"/>
  <c r="G42" i="2"/>
  <c r="C42" i="2" s="1"/>
  <c r="G41" i="2"/>
  <c r="C41" i="2" s="1"/>
  <c r="G40" i="2"/>
  <c r="C40" i="2" s="1"/>
  <c r="G39" i="2"/>
  <c r="G38" i="2"/>
  <c r="C38" i="2" s="1"/>
  <c r="G37" i="2"/>
  <c r="C37" i="2" s="1"/>
  <c r="G36" i="2"/>
  <c r="C36" i="2" s="1"/>
  <c r="G35" i="2"/>
  <c r="C35" i="2" s="1"/>
  <c r="G34" i="2"/>
  <c r="C34" i="2" s="1"/>
  <c r="G33" i="2"/>
  <c r="C33" i="2" s="1"/>
  <c r="G32" i="2"/>
  <c r="C32" i="2" s="1"/>
  <c r="G31" i="2"/>
  <c r="G30" i="2"/>
  <c r="C30" i="2" s="1"/>
  <c r="G29" i="2"/>
  <c r="C29" i="2" s="1"/>
  <c r="G28" i="2"/>
  <c r="G27" i="2"/>
  <c r="C27" i="2" s="1"/>
  <c r="G26" i="2"/>
  <c r="C26" i="2" s="1"/>
  <c r="G25" i="2"/>
  <c r="C25" i="2" s="1"/>
  <c r="G24" i="2"/>
  <c r="G23" i="2"/>
  <c r="G22" i="2"/>
  <c r="C22" i="2" s="1"/>
  <c r="G21" i="2"/>
  <c r="C21" i="2" s="1"/>
  <c r="G20" i="2"/>
  <c r="C20" i="2" s="1"/>
  <c r="G19" i="2"/>
  <c r="C19" i="2" s="1"/>
  <c r="G18" i="2"/>
  <c r="C18" i="2" s="1"/>
  <c r="G17" i="2"/>
  <c r="C17" i="2" s="1"/>
  <c r="G16" i="2"/>
  <c r="G15" i="2"/>
  <c r="G14" i="2"/>
  <c r="C14" i="2" s="1"/>
  <c r="G13" i="2"/>
  <c r="C13" i="2" s="1"/>
  <c r="G12" i="2"/>
  <c r="C12" i="2" s="1"/>
  <c r="G11" i="2"/>
  <c r="C11" i="2" s="1"/>
  <c r="G10" i="2"/>
  <c r="C10" i="2" s="1"/>
  <c r="G9" i="2"/>
  <c r="C9" i="2" s="1"/>
  <c r="G8" i="2"/>
  <c r="G7" i="2"/>
  <c r="G6" i="2"/>
  <c r="C6" i="2" s="1"/>
  <c r="G5" i="2"/>
  <c r="C5" i="2" s="1"/>
  <c r="G4" i="2"/>
  <c r="C4" i="2" s="1"/>
  <c r="G3" i="2"/>
  <c r="C3" i="2" s="1"/>
  <c r="B3" i="2"/>
  <c r="B4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G2" i="2"/>
  <c r="C2" i="2" s="1"/>
  <c r="C27" i="1"/>
  <c r="G3" i="1"/>
  <c r="C3" i="1" s="1"/>
  <c r="G4" i="1"/>
  <c r="C4" i="1" s="1"/>
  <c r="G5" i="1"/>
  <c r="G6" i="1"/>
  <c r="G7" i="1"/>
  <c r="G8" i="1"/>
  <c r="C8" i="1" s="1"/>
  <c r="G9" i="1"/>
  <c r="G10" i="1"/>
  <c r="G11" i="1"/>
  <c r="C11" i="1" s="1"/>
  <c r="G12" i="1"/>
  <c r="C12" i="1" s="1"/>
  <c r="G13" i="1"/>
  <c r="G14" i="1"/>
  <c r="G15" i="1"/>
  <c r="C15" i="1" s="1"/>
  <c r="G16" i="1"/>
  <c r="C16" i="1" s="1"/>
  <c r="G17" i="1"/>
  <c r="G18" i="1"/>
  <c r="G19" i="1"/>
  <c r="C19" i="1" s="1"/>
  <c r="G20" i="1"/>
  <c r="C20" i="1" s="1"/>
  <c r="G21" i="1"/>
  <c r="G22" i="1"/>
  <c r="G23" i="1"/>
  <c r="C23" i="1" s="1"/>
  <c r="G24" i="1"/>
  <c r="C24" i="1" s="1"/>
  <c r="G25" i="1"/>
  <c r="G26" i="1"/>
  <c r="G27" i="1"/>
  <c r="G28" i="1"/>
  <c r="G29" i="1"/>
  <c r="G30" i="1"/>
  <c r="G31" i="1"/>
  <c r="C31" i="1" s="1"/>
  <c r="G32" i="1"/>
  <c r="C32" i="1" s="1"/>
  <c r="G33" i="1"/>
  <c r="G34" i="1"/>
  <c r="G35" i="1"/>
  <c r="C35" i="1" s="1"/>
  <c r="G36" i="1"/>
  <c r="C36" i="1" s="1"/>
  <c r="G37" i="1"/>
  <c r="G38" i="1"/>
  <c r="G39" i="1"/>
  <c r="C39" i="1" s="1"/>
  <c r="G40" i="1"/>
  <c r="C40" i="1" s="1"/>
  <c r="G41" i="1"/>
  <c r="G42" i="1"/>
  <c r="G43" i="1"/>
  <c r="C43" i="1" s="1"/>
  <c r="G44" i="1"/>
  <c r="C44" i="1" s="1"/>
  <c r="G45" i="1"/>
  <c r="G46" i="1"/>
  <c r="G47" i="1"/>
  <c r="C47" i="1" s="1"/>
  <c r="G48" i="1"/>
  <c r="C48" i="1" s="1"/>
  <c r="G49" i="1"/>
  <c r="G50" i="1"/>
  <c r="G51" i="1"/>
  <c r="C51" i="1" s="1"/>
  <c r="G52" i="1"/>
  <c r="C52" i="1" s="1"/>
  <c r="C5" i="1"/>
  <c r="C6" i="1"/>
  <c r="C9" i="1"/>
  <c r="C10" i="1"/>
  <c r="C13" i="1"/>
  <c r="C14" i="1"/>
  <c r="C17" i="1"/>
  <c r="C18" i="1"/>
  <c r="C21" i="1"/>
  <c r="C22" i="1"/>
  <c r="C25" i="1"/>
  <c r="C26" i="1"/>
  <c r="C29" i="1"/>
  <c r="C30" i="1"/>
  <c r="C33" i="1"/>
  <c r="C34" i="1"/>
  <c r="C37" i="1"/>
  <c r="C38" i="1"/>
  <c r="C41" i="1"/>
  <c r="C42" i="1"/>
  <c r="C45" i="1"/>
  <c r="C46" i="1"/>
  <c r="C49" i="1"/>
  <c r="C50" i="1"/>
  <c r="C2" i="1"/>
  <c r="G2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3" i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3" i="1"/>
  <c r="B5" i="3" l="1"/>
  <c r="B5" i="2"/>
  <c r="B6" i="3" l="1"/>
  <c r="B6" i="2"/>
  <c r="B7" i="3" l="1"/>
  <c r="B7" i="2"/>
  <c r="B8" i="3" l="1"/>
  <c r="B8" i="2"/>
  <c r="B9" i="3" l="1"/>
  <c r="B9" i="2"/>
  <c r="B10" i="3" l="1"/>
  <c r="B10" i="2"/>
  <c r="B11" i="3" l="1"/>
  <c r="B11" i="2"/>
  <c r="B12" i="3" l="1"/>
  <c r="B12" i="2"/>
  <c r="B13" i="3" l="1"/>
  <c r="B13" i="2"/>
  <c r="B14" i="3" l="1"/>
  <c r="B14" i="2"/>
  <c r="B15" i="3" l="1"/>
  <c r="B15" i="2"/>
  <c r="B16" i="3" l="1"/>
  <c r="B16" i="2"/>
  <c r="B17" i="3" l="1"/>
  <c r="B17" i="2"/>
  <c r="B18" i="3" l="1"/>
  <c r="B18" i="2"/>
  <c r="B19" i="3" l="1"/>
  <c r="B19" i="2"/>
  <c r="B20" i="3" l="1"/>
  <c r="B20" i="2"/>
  <c r="B21" i="3" l="1"/>
  <c r="B21" i="2"/>
  <c r="B22" i="3" l="1"/>
  <c r="B22" i="2"/>
  <c r="B23" i="3" l="1"/>
  <c r="B23" i="2"/>
  <c r="B24" i="3" l="1"/>
  <c r="B24" i="2"/>
  <c r="B25" i="3" l="1"/>
  <c r="B25" i="2"/>
  <c r="B26" i="3" l="1"/>
  <c r="B26" i="2"/>
  <c r="B27" i="3" l="1"/>
  <c r="B28" i="3" s="1"/>
  <c r="B27" i="2"/>
  <c r="B28" i="2" s="1"/>
  <c r="B29" i="3" l="1"/>
  <c r="B29" i="2"/>
  <c r="B30" i="3" l="1"/>
  <c r="B30" i="2"/>
  <c r="B31" i="3" l="1"/>
  <c r="B31" i="2"/>
  <c r="B32" i="3" l="1"/>
  <c r="B32" i="2"/>
  <c r="B33" i="3" l="1"/>
  <c r="B33" i="2"/>
  <c r="B34" i="3" l="1"/>
  <c r="B34" i="2"/>
  <c r="B35" i="3" l="1"/>
  <c r="B35" i="2"/>
  <c r="B36" i="3" l="1"/>
  <c r="B36" i="2"/>
  <c r="B37" i="3" l="1"/>
  <c r="B37" i="2"/>
  <c r="B38" i="3" l="1"/>
  <c r="B38" i="2"/>
  <c r="B39" i="3" l="1"/>
  <c r="B39" i="2"/>
  <c r="B40" i="3" l="1"/>
  <c r="B40" i="2"/>
  <c r="B41" i="3" l="1"/>
  <c r="B41" i="2"/>
  <c r="B42" i="3" l="1"/>
  <c r="B42" i="2"/>
  <c r="B43" i="3" l="1"/>
  <c r="B43" i="2"/>
  <c r="B44" i="3" l="1"/>
  <c r="B44" i="2"/>
  <c r="B45" i="3" l="1"/>
  <c r="B45" i="2"/>
  <c r="B46" i="3" l="1"/>
  <c r="B46" i="2"/>
  <c r="B47" i="3" l="1"/>
  <c r="B47" i="2"/>
  <c r="B48" i="3" l="1"/>
  <c r="B48" i="2"/>
  <c r="B49" i="3" l="1"/>
  <c r="B49" i="2"/>
  <c r="B50" i="3" l="1"/>
  <c r="B50" i="2"/>
  <c r="B51" i="3" l="1"/>
  <c r="B51" i="2"/>
  <c r="B52" i="3" l="1"/>
  <c r="B52" i="2"/>
</calcChain>
</file>

<file path=xl/sharedStrings.xml><?xml version="1.0" encoding="utf-8"?>
<sst xmlns="http://schemas.openxmlformats.org/spreadsheetml/2006/main" count="28" uniqueCount="16">
  <si>
    <t>Filter Designer Coeffs</t>
  </si>
  <si>
    <t>Sample number</t>
  </si>
  <si>
    <t>Calculated Coeffs</t>
  </si>
  <si>
    <t>Sample number (n)</t>
  </si>
  <si>
    <t>M</t>
  </si>
  <si>
    <t>Cutoff frequency (Hz)</t>
  </si>
  <si>
    <t>Omega1 (Hz)</t>
  </si>
  <si>
    <t>Omega0 (Hz)</t>
  </si>
  <si>
    <t>Omega 1 (rads)</t>
  </si>
  <si>
    <t>Omega0 (rads)</t>
  </si>
  <si>
    <t>Bandwidth of filter (Hz)</t>
  </si>
  <si>
    <t>Cutoff Frequency (Hz)</t>
  </si>
  <si>
    <t>fc1 (Hz)</t>
  </si>
  <si>
    <t>fc2 (Hz)</t>
  </si>
  <si>
    <t>fc1 (rads)</t>
  </si>
  <si>
    <t>fc2 (rads)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</si>
</sst>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ADEB-DD25-4B1A-B5F3-38AE8B1F27EC}">
  <dimension ref="A1:H52"/>
  <sheetViews>
    <sheetView tabSelected="1" topLeftCell="A4" workbookViewId="0">
      <selection activeCell="C28" sqref="C28"/>
    </sheetView>
  </sheetViews>
  <sheetFormatPr defaultRowHeight="15" x14ac:dyDescent="0.25"/>
  <cols>
    <col min="1" max="1" width="15.140625" bestFit="1" customWidth="1"/>
    <col min="2" max="2" width="18.28515625" bestFit="1" customWidth="1"/>
    <col min="3" max="3" width="19.28515625" style="1" bestFit="1" customWidth="1"/>
    <col min="4" max="4" width="20.42578125" style="1" bestFit="1" customWidth="1"/>
    <col min="6" max="6" width="20.28515625" bestFit="1" customWidth="1"/>
    <col min="7" max="7" width="16.28515625" customWidth="1"/>
  </cols>
  <sheetData>
    <row r="1" spans="1:8" x14ac:dyDescent="0.25">
      <c r="A1" t="s">
        <v>1</v>
      </c>
      <c r="B1" t="s">
        <v>3</v>
      </c>
      <c r="C1" s="1" t="s">
        <v>2</v>
      </c>
      <c r="D1" s="1" t="s">
        <v>0</v>
      </c>
      <c r="F1" t="s">
        <v>5</v>
      </c>
      <c r="G1" t="s">
        <v>8</v>
      </c>
      <c r="H1" t="s">
        <v>4</v>
      </c>
    </row>
    <row r="2" spans="1:8" x14ac:dyDescent="0.25">
      <c r="A2">
        <v>0</v>
      </c>
      <c r="B2">
        <v>-25</v>
      </c>
      <c r="C2" s="1">
        <f>(SIN(B2*G2)/(B2*PI()))*(0.54+0.46*COS((B2*PI())/H2))</f>
        <v>9.5904890952137921E-4</v>
      </c>
      <c r="D2" s="1">
        <v>9.59048909521379E-4</v>
      </c>
      <c r="F2">
        <v>375</v>
      </c>
      <c r="G2">
        <f xml:space="preserve"> (F2/48000)*2*PI()</f>
        <v>4.9087385212340517E-2</v>
      </c>
      <c r="H2">
        <v>25</v>
      </c>
    </row>
    <row r="3" spans="1:8" x14ac:dyDescent="0.25">
      <c r="A3">
        <f>SUM(A2+1)</f>
        <v>1</v>
      </c>
      <c r="B3">
        <f>SUM(B2+1)</f>
        <v>-24</v>
      </c>
      <c r="C3" s="1">
        <f t="shared" ref="C3:C52" si="0">(SIN(B3*G3)/(B3*PI()))*(0.54+0.46*COS((B3*PI())/H3))</f>
        <v>1.0247123766684233E-3</v>
      </c>
      <c r="D3" s="1">
        <v>1.0247123766684201E-3</v>
      </c>
      <c r="F3">
        <v>375</v>
      </c>
      <c r="G3">
        <f t="shared" ref="G3:G52" si="1" xml:space="preserve"> (F3/48000)*2*PI()</f>
        <v>4.9087385212340517E-2</v>
      </c>
      <c r="H3">
        <v>25</v>
      </c>
    </row>
    <row r="4" spans="1:8" x14ac:dyDescent="0.25">
      <c r="A4">
        <f t="shared" ref="A4:A52" si="2">SUM(A3+1)</f>
        <v>2</v>
      </c>
      <c r="B4">
        <f t="shared" ref="B4:B52" si="3">SUM(B3+1)</f>
        <v>-23</v>
      </c>
      <c r="C4" s="1">
        <f t="shared" si="0"/>
        <v>1.1816682534590507E-3</v>
      </c>
      <c r="D4" s="1">
        <v>1.1816682534590501E-3</v>
      </c>
      <c r="F4">
        <v>375</v>
      </c>
      <c r="G4">
        <f t="shared" si="1"/>
        <v>4.9087385212340517E-2</v>
      </c>
      <c r="H4">
        <v>25</v>
      </c>
    </row>
    <row r="5" spans="1:8" x14ac:dyDescent="0.25">
      <c r="A5">
        <f t="shared" si="2"/>
        <v>3</v>
      </c>
      <c r="B5">
        <f t="shared" si="3"/>
        <v>-22</v>
      </c>
      <c r="C5" s="1">
        <f t="shared" si="0"/>
        <v>1.4330056704433367E-3</v>
      </c>
      <c r="D5" s="1">
        <v>1.43300567044334E-3</v>
      </c>
      <c r="F5">
        <v>375</v>
      </c>
      <c r="G5">
        <f t="shared" si="1"/>
        <v>4.9087385212340517E-2</v>
      </c>
      <c r="H5">
        <v>25</v>
      </c>
    </row>
    <row r="6" spans="1:8" x14ac:dyDescent="0.25">
      <c r="A6">
        <f t="shared" si="2"/>
        <v>4</v>
      </c>
      <c r="B6">
        <f t="shared" si="3"/>
        <v>-21</v>
      </c>
      <c r="C6" s="1">
        <f t="shared" si="0"/>
        <v>1.7798392251519989E-3</v>
      </c>
      <c r="D6" s="1">
        <v>1.779839225152E-3</v>
      </c>
      <c r="F6">
        <v>375</v>
      </c>
      <c r="G6">
        <f t="shared" si="1"/>
        <v>4.9087385212340517E-2</v>
      </c>
      <c r="H6">
        <v>25</v>
      </c>
    </row>
    <row r="7" spans="1:8" x14ac:dyDescent="0.25">
      <c r="A7">
        <f t="shared" si="2"/>
        <v>5</v>
      </c>
      <c r="B7">
        <f t="shared" si="3"/>
        <v>-20</v>
      </c>
      <c r="C7" s="1">
        <f>(SIN(B7*G7)/(B7*PI()))*(0.54+0.46*COS((B7*PI())/H7))</f>
        <v>2.2212298755650214E-3</v>
      </c>
      <c r="D7" s="1">
        <v>2.2212298755650201E-3</v>
      </c>
      <c r="F7">
        <v>375</v>
      </c>
      <c r="G7">
        <f t="shared" si="1"/>
        <v>4.9087385212340517E-2</v>
      </c>
      <c r="H7">
        <v>25</v>
      </c>
    </row>
    <row r="8" spans="1:8" x14ac:dyDescent="0.25">
      <c r="A8">
        <f t="shared" si="2"/>
        <v>6</v>
      </c>
      <c r="B8">
        <f t="shared" si="3"/>
        <v>-19</v>
      </c>
      <c r="C8" s="1">
        <f t="shared" si="0"/>
        <v>2.7541519108657221E-3</v>
      </c>
      <c r="D8" s="1">
        <v>2.7541519108657199E-3</v>
      </c>
      <c r="F8">
        <v>375</v>
      </c>
      <c r="G8">
        <f t="shared" si="1"/>
        <v>4.9087385212340517E-2</v>
      </c>
      <c r="H8">
        <v>25</v>
      </c>
    </row>
    <row r="9" spans="1:8" x14ac:dyDescent="0.25">
      <c r="A9">
        <f t="shared" si="2"/>
        <v>7</v>
      </c>
      <c r="B9">
        <f t="shared" si="3"/>
        <v>-18</v>
      </c>
      <c r="C9" s="1">
        <f t="shared" si="0"/>
        <v>3.3735075466673043E-3</v>
      </c>
      <c r="D9" s="1">
        <v>3.3735075466673E-3</v>
      </c>
      <c r="F9">
        <v>375</v>
      </c>
      <c r="G9">
        <f t="shared" si="1"/>
        <v>4.9087385212340517E-2</v>
      </c>
      <c r="H9">
        <v>25</v>
      </c>
    </row>
    <row r="10" spans="1:8" x14ac:dyDescent="0.25">
      <c r="A10">
        <f t="shared" si="2"/>
        <v>8</v>
      </c>
      <c r="B10">
        <f t="shared" si="3"/>
        <v>-17</v>
      </c>
      <c r="C10" s="1">
        <f t="shared" si="0"/>
        <v>4.072189546823971E-3</v>
      </c>
      <c r="D10" s="1">
        <v>4.0721895468239701E-3</v>
      </c>
      <c r="F10">
        <v>375</v>
      </c>
      <c r="G10">
        <f t="shared" si="1"/>
        <v>4.9087385212340517E-2</v>
      </c>
      <c r="H10">
        <v>25</v>
      </c>
    </row>
    <row r="11" spans="1:8" x14ac:dyDescent="0.25">
      <c r="A11">
        <f t="shared" si="2"/>
        <v>9</v>
      </c>
      <c r="B11">
        <f t="shared" si="3"/>
        <v>-16</v>
      </c>
      <c r="C11" s="1">
        <f t="shared" si="0"/>
        <v>4.8411911065160459E-3</v>
      </c>
      <c r="D11" s="1">
        <v>4.8411911065160502E-3</v>
      </c>
      <c r="F11">
        <v>375</v>
      </c>
      <c r="G11">
        <f t="shared" si="1"/>
        <v>4.9087385212340517E-2</v>
      </c>
      <c r="H11">
        <v>25</v>
      </c>
    </row>
    <row r="12" spans="1:8" x14ac:dyDescent="0.25">
      <c r="A12">
        <f t="shared" si="2"/>
        <v>10</v>
      </c>
      <c r="B12">
        <f t="shared" si="3"/>
        <v>-15</v>
      </c>
      <c r="C12" s="1">
        <f t="shared" si="0"/>
        <v>5.6697610709604872E-3</v>
      </c>
      <c r="D12" s="1">
        <v>5.6697610709604898E-3</v>
      </c>
      <c r="F12">
        <v>375</v>
      </c>
      <c r="G12">
        <f t="shared" si="1"/>
        <v>4.9087385212340517E-2</v>
      </c>
      <c r="H12">
        <v>25</v>
      </c>
    </row>
    <row r="13" spans="1:8" x14ac:dyDescent="0.25">
      <c r="A13">
        <f t="shared" si="2"/>
        <v>11</v>
      </c>
      <c r="B13">
        <f t="shared" si="3"/>
        <v>-14</v>
      </c>
      <c r="C13" s="1">
        <f t="shared" si="0"/>
        <v>6.5456014403116221E-3</v>
      </c>
      <c r="D13" s="1">
        <v>6.5456014403116203E-3</v>
      </c>
      <c r="F13">
        <v>375</v>
      </c>
      <c r="G13">
        <f t="shared" si="1"/>
        <v>4.9087385212340517E-2</v>
      </c>
      <c r="H13">
        <v>25</v>
      </c>
    </row>
    <row r="14" spans="1:8" x14ac:dyDescent="0.25">
      <c r="A14">
        <f t="shared" si="2"/>
        <v>12</v>
      </c>
      <c r="B14">
        <f t="shared" si="3"/>
        <v>-13</v>
      </c>
      <c r="C14" s="1">
        <f t="shared" si="0"/>
        <v>7.4551030528155439E-3</v>
      </c>
      <c r="D14" s="1">
        <v>7.4551030528155404E-3</v>
      </c>
      <c r="F14">
        <v>375</v>
      </c>
      <c r="G14">
        <f t="shared" si="1"/>
        <v>4.9087385212340517E-2</v>
      </c>
      <c r="H14">
        <v>25</v>
      </c>
    </row>
    <row r="15" spans="1:8" x14ac:dyDescent="0.25">
      <c r="A15">
        <f t="shared" si="2"/>
        <v>13</v>
      </c>
      <c r="B15">
        <f t="shared" si="3"/>
        <v>-12</v>
      </c>
      <c r="C15" s="1">
        <f t="shared" si="0"/>
        <v>8.3836143723138943E-3</v>
      </c>
      <c r="D15" s="1">
        <v>8.3836143723138908E-3</v>
      </c>
      <c r="F15">
        <v>375</v>
      </c>
      <c r="G15">
        <f t="shared" si="1"/>
        <v>4.9087385212340517E-2</v>
      </c>
      <c r="H15">
        <v>25</v>
      </c>
    </row>
    <row r="16" spans="1:8" x14ac:dyDescent="0.25">
      <c r="A16">
        <f t="shared" si="2"/>
        <v>14</v>
      </c>
      <c r="B16">
        <f t="shared" si="3"/>
        <v>-11</v>
      </c>
      <c r="C16" s="1">
        <f t="shared" si="0"/>
        <v>9.3157374578043909E-3</v>
      </c>
      <c r="D16" s="1">
        <v>9.3157374578043892E-3</v>
      </c>
      <c r="F16">
        <v>375</v>
      </c>
      <c r="G16">
        <f t="shared" si="1"/>
        <v>4.9087385212340517E-2</v>
      </c>
      <c r="H16">
        <v>25</v>
      </c>
    </row>
    <row r="17" spans="1:8" x14ac:dyDescent="0.25">
      <c r="A17">
        <f t="shared" si="2"/>
        <v>15</v>
      </c>
      <c r="B17">
        <f t="shared" si="3"/>
        <v>-10</v>
      </c>
      <c r="C17" s="1">
        <f t="shared" si="0"/>
        <v>1.0235644484137022E-2</v>
      </c>
      <c r="D17" s="1">
        <v>1.0235644484137E-2</v>
      </c>
      <c r="F17">
        <v>375</v>
      </c>
      <c r="G17">
        <f t="shared" si="1"/>
        <v>4.9087385212340517E-2</v>
      </c>
      <c r="H17">
        <v>25</v>
      </c>
    </row>
    <row r="18" spans="1:8" x14ac:dyDescent="0.25">
      <c r="A18">
        <f t="shared" si="2"/>
        <v>16</v>
      </c>
      <c r="B18">
        <f t="shared" si="3"/>
        <v>-9</v>
      </c>
      <c r="C18" s="1">
        <f t="shared" si="0"/>
        <v>1.112740763278167E-2</v>
      </c>
      <c r="D18" s="1">
        <v>1.1127407632781699E-2</v>
      </c>
      <c r="F18">
        <v>375</v>
      </c>
      <c r="G18">
        <f t="shared" si="1"/>
        <v>4.9087385212340517E-2</v>
      </c>
      <c r="H18">
        <v>25</v>
      </c>
    </row>
    <row r="19" spans="1:8" x14ac:dyDescent="0.25">
      <c r="A19">
        <f t="shared" si="2"/>
        <v>17</v>
      </c>
      <c r="B19">
        <f t="shared" si="3"/>
        <v>-8</v>
      </c>
      <c r="C19" s="1">
        <f t="shared" si="0"/>
        <v>1.1975334794713145E-2</v>
      </c>
      <c r="D19" s="1">
        <v>1.19753347947131E-2</v>
      </c>
      <c r="F19">
        <v>375</v>
      </c>
      <c r="G19">
        <f t="shared" si="1"/>
        <v>4.9087385212340517E-2</v>
      </c>
      <c r="H19">
        <v>25</v>
      </c>
    </row>
    <row r="20" spans="1:8" x14ac:dyDescent="0.25">
      <c r="A20">
        <f t="shared" si="2"/>
        <v>18</v>
      </c>
      <c r="B20">
        <f t="shared" si="3"/>
        <v>-7</v>
      </c>
      <c r="C20" s="1">
        <f t="shared" si="0"/>
        <v>1.2764303334234246E-2</v>
      </c>
      <c r="D20" s="1">
        <v>1.27643033342342E-2</v>
      </c>
      <c r="F20">
        <v>375</v>
      </c>
      <c r="G20">
        <f t="shared" si="1"/>
        <v>4.9087385212340517E-2</v>
      </c>
      <c r="H20">
        <v>25</v>
      </c>
    </row>
    <row r="21" spans="1:8" x14ac:dyDescent="0.25">
      <c r="A21">
        <f t="shared" si="2"/>
        <v>19</v>
      </c>
      <c r="B21">
        <f t="shared" si="3"/>
        <v>-6</v>
      </c>
      <c r="C21" s="1">
        <f t="shared" si="0"/>
        <v>1.3480084158762897E-2</v>
      </c>
      <c r="D21" s="1">
        <v>1.34800841587629E-2</v>
      </c>
      <c r="F21">
        <v>375</v>
      </c>
      <c r="G21">
        <f t="shared" si="1"/>
        <v>4.9087385212340517E-2</v>
      </c>
      <c r="H21">
        <v>25</v>
      </c>
    </row>
    <row r="22" spans="1:8" x14ac:dyDescent="0.25">
      <c r="A22">
        <f t="shared" si="2"/>
        <v>20</v>
      </c>
      <c r="B22">
        <f t="shared" si="3"/>
        <v>-5</v>
      </c>
      <c r="C22" s="1">
        <f t="shared" si="0"/>
        <v>1.4109648526202102E-2</v>
      </c>
      <c r="D22" s="1">
        <v>1.41096485262021E-2</v>
      </c>
      <c r="F22">
        <v>375</v>
      </c>
      <c r="G22">
        <f t="shared" si="1"/>
        <v>4.9087385212340517E-2</v>
      </c>
      <c r="H22">
        <v>25</v>
      </c>
    </row>
    <row r="23" spans="1:8" x14ac:dyDescent="0.25">
      <c r="A23">
        <f t="shared" si="2"/>
        <v>21</v>
      </c>
      <c r="B23">
        <f t="shared" si="3"/>
        <v>-4</v>
      </c>
      <c r="C23" s="1">
        <f t="shared" si="0"/>
        <v>1.464145039459566E-2</v>
      </c>
      <c r="D23" s="1">
        <v>1.46414503945957E-2</v>
      </c>
      <c r="F23">
        <v>375</v>
      </c>
      <c r="G23">
        <f t="shared" si="1"/>
        <v>4.9087385212340517E-2</v>
      </c>
      <c r="H23">
        <v>25</v>
      </c>
    </row>
    <row r="24" spans="1:8" x14ac:dyDescent="0.25">
      <c r="A24">
        <f t="shared" si="2"/>
        <v>22</v>
      </c>
      <c r="B24">
        <f t="shared" si="3"/>
        <v>-3</v>
      </c>
      <c r="C24" s="1">
        <f t="shared" si="0"/>
        <v>1.5065677669688282E-2</v>
      </c>
      <c r="D24" s="1">
        <v>1.5065677669688299E-2</v>
      </c>
      <c r="F24">
        <v>375</v>
      </c>
      <c r="G24">
        <f t="shared" si="1"/>
        <v>4.9087385212340517E-2</v>
      </c>
      <c r="H24">
        <v>25</v>
      </c>
    </row>
    <row r="25" spans="1:8" x14ac:dyDescent="0.25">
      <c r="A25">
        <f t="shared" si="2"/>
        <v>23</v>
      </c>
      <c r="B25">
        <f t="shared" si="3"/>
        <v>-2</v>
      </c>
      <c r="C25" s="1">
        <f t="shared" si="0"/>
        <v>1.5374466421540976E-2</v>
      </c>
      <c r="D25" s="1">
        <v>1.5374466421541E-2</v>
      </c>
      <c r="F25">
        <v>375</v>
      </c>
      <c r="G25">
        <f t="shared" si="1"/>
        <v>4.9087385212340517E-2</v>
      </c>
      <c r="H25">
        <v>25</v>
      </c>
    </row>
    <row r="26" spans="1:8" x14ac:dyDescent="0.25">
      <c r="A26">
        <f t="shared" si="2"/>
        <v>24</v>
      </c>
      <c r="B26">
        <f t="shared" si="3"/>
        <v>-1</v>
      </c>
      <c r="C26" s="1">
        <f t="shared" si="0"/>
        <v>1.5562073004063913E-2</v>
      </c>
      <c r="D26" s="1">
        <v>1.5562073004063899E-2</v>
      </c>
      <c r="F26">
        <v>375</v>
      </c>
      <c r="G26">
        <f t="shared" si="1"/>
        <v>4.9087385212340517E-2</v>
      </c>
      <c r="H26">
        <v>25</v>
      </c>
    </row>
    <row r="27" spans="1:8" x14ac:dyDescent="0.25">
      <c r="A27">
        <f t="shared" si="2"/>
        <v>25</v>
      </c>
      <c r="B27">
        <f t="shared" si="3"/>
        <v>0</v>
      </c>
      <c r="C27" s="1">
        <f>G27/PI()</f>
        <v>1.5625E-2</v>
      </c>
      <c r="D27" s="1">
        <v>1.5625E-2</v>
      </c>
      <c r="F27">
        <v>375</v>
      </c>
      <c r="G27">
        <f t="shared" si="1"/>
        <v>4.9087385212340517E-2</v>
      </c>
      <c r="H27">
        <v>25</v>
      </c>
    </row>
    <row r="28" spans="1:8" x14ac:dyDescent="0.25">
      <c r="A28">
        <f t="shared" si="2"/>
        <v>26</v>
      </c>
      <c r="B28">
        <f t="shared" si="3"/>
        <v>1</v>
      </c>
      <c r="C28" s="1">
        <f>(SIN(B28*G28)/(B28*PI()))*(0.54+0.46*COS((B28*PI())/H28))</f>
        <v>1.5562073004063913E-2</v>
      </c>
      <c r="D28" s="1">
        <v>1.5562073004063899E-2</v>
      </c>
      <c r="F28">
        <v>375</v>
      </c>
      <c r="G28">
        <f t="shared" si="1"/>
        <v>4.9087385212340517E-2</v>
      </c>
      <c r="H28">
        <v>25</v>
      </c>
    </row>
    <row r="29" spans="1:8" x14ac:dyDescent="0.25">
      <c r="A29">
        <f t="shared" si="2"/>
        <v>27</v>
      </c>
      <c r="B29">
        <f t="shared" si="3"/>
        <v>2</v>
      </c>
      <c r="C29" s="1">
        <f t="shared" si="0"/>
        <v>1.5374466421540976E-2</v>
      </c>
      <c r="D29" s="1">
        <v>1.5374466421541E-2</v>
      </c>
      <c r="F29">
        <v>375</v>
      </c>
      <c r="G29">
        <f t="shared" si="1"/>
        <v>4.9087385212340517E-2</v>
      </c>
      <c r="H29">
        <v>25</v>
      </c>
    </row>
    <row r="30" spans="1:8" x14ac:dyDescent="0.25">
      <c r="A30">
        <f t="shared" si="2"/>
        <v>28</v>
      </c>
      <c r="B30">
        <f t="shared" si="3"/>
        <v>3</v>
      </c>
      <c r="C30" s="1">
        <f t="shared" si="0"/>
        <v>1.5065677669688282E-2</v>
      </c>
      <c r="D30" s="1">
        <v>1.5065677669688299E-2</v>
      </c>
      <c r="F30">
        <v>375</v>
      </c>
      <c r="G30">
        <f t="shared" si="1"/>
        <v>4.9087385212340517E-2</v>
      </c>
      <c r="H30">
        <v>25</v>
      </c>
    </row>
    <row r="31" spans="1:8" x14ac:dyDescent="0.25">
      <c r="A31">
        <f t="shared" si="2"/>
        <v>29</v>
      </c>
      <c r="B31">
        <f t="shared" si="3"/>
        <v>4</v>
      </c>
      <c r="C31" s="1">
        <f t="shared" si="0"/>
        <v>1.464145039459566E-2</v>
      </c>
      <c r="D31" s="1">
        <v>1.46414503945957E-2</v>
      </c>
      <c r="F31">
        <v>375</v>
      </c>
      <c r="G31">
        <f t="shared" si="1"/>
        <v>4.9087385212340517E-2</v>
      </c>
      <c r="H31">
        <v>25</v>
      </c>
    </row>
    <row r="32" spans="1:8" x14ac:dyDescent="0.25">
      <c r="A32">
        <f t="shared" si="2"/>
        <v>30</v>
      </c>
      <c r="B32">
        <f t="shared" si="3"/>
        <v>5</v>
      </c>
      <c r="C32" s="1">
        <f t="shared" si="0"/>
        <v>1.4109648526202102E-2</v>
      </c>
      <c r="D32" s="1">
        <v>1.41096485262021E-2</v>
      </c>
      <c r="F32">
        <v>375</v>
      </c>
      <c r="G32">
        <f t="shared" si="1"/>
        <v>4.9087385212340517E-2</v>
      </c>
      <c r="H32">
        <v>25</v>
      </c>
    </row>
    <row r="33" spans="1:8" x14ac:dyDescent="0.25">
      <c r="A33">
        <f t="shared" si="2"/>
        <v>31</v>
      </c>
      <c r="B33">
        <f t="shared" si="3"/>
        <v>6</v>
      </c>
      <c r="C33" s="1">
        <f t="shared" si="0"/>
        <v>1.3480084158762897E-2</v>
      </c>
      <c r="D33" s="1">
        <v>1.34800841587629E-2</v>
      </c>
      <c r="F33">
        <v>375</v>
      </c>
      <c r="G33">
        <f t="shared" si="1"/>
        <v>4.9087385212340517E-2</v>
      </c>
      <c r="H33">
        <v>25</v>
      </c>
    </row>
    <row r="34" spans="1:8" x14ac:dyDescent="0.25">
      <c r="A34">
        <f t="shared" si="2"/>
        <v>32</v>
      </c>
      <c r="B34">
        <f t="shared" si="3"/>
        <v>7</v>
      </c>
      <c r="C34" s="1">
        <f t="shared" si="0"/>
        <v>1.2764303334234246E-2</v>
      </c>
      <c r="D34" s="1">
        <v>1.27643033342342E-2</v>
      </c>
      <c r="F34">
        <v>375</v>
      </c>
      <c r="G34">
        <f t="shared" si="1"/>
        <v>4.9087385212340517E-2</v>
      </c>
      <c r="H34">
        <v>25</v>
      </c>
    </row>
    <row r="35" spans="1:8" x14ac:dyDescent="0.25">
      <c r="A35">
        <f t="shared" si="2"/>
        <v>33</v>
      </c>
      <c r="B35">
        <f t="shared" si="3"/>
        <v>8</v>
      </c>
      <c r="C35" s="1">
        <f t="shared" si="0"/>
        <v>1.1975334794713145E-2</v>
      </c>
      <c r="D35" s="1">
        <v>1.19753347947131E-2</v>
      </c>
      <c r="F35">
        <v>375</v>
      </c>
      <c r="G35">
        <f t="shared" si="1"/>
        <v>4.9087385212340517E-2</v>
      </c>
      <c r="H35">
        <v>25</v>
      </c>
    </row>
    <row r="36" spans="1:8" x14ac:dyDescent="0.25">
      <c r="A36">
        <f t="shared" si="2"/>
        <v>34</v>
      </c>
      <c r="B36">
        <f t="shared" si="3"/>
        <v>9</v>
      </c>
      <c r="C36" s="1">
        <f t="shared" si="0"/>
        <v>1.112740763278167E-2</v>
      </c>
      <c r="D36" s="1">
        <v>1.1127407632781699E-2</v>
      </c>
      <c r="F36">
        <v>375</v>
      </c>
      <c r="G36">
        <f t="shared" si="1"/>
        <v>4.9087385212340517E-2</v>
      </c>
      <c r="H36">
        <v>25</v>
      </c>
    </row>
    <row r="37" spans="1:8" x14ac:dyDescent="0.25">
      <c r="A37">
        <f t="shared" si="2"/>
        <v>35</v>
      </c>
      <c r="B37">
        <f t="shared" si="3"/>
        <v>10</v>
      </c>
      <c r="C37" s="1">
        <f t="shared" si="0"/>
        <v>1.0235644484137022E-2</v>
      </c>
      <c r="D37" s="1">
        <v>1.0235644484137E-2</v>
      </c>
      <c r="F37">
        <v>375</v>
      </c>
      <c r="G37">
        <f t="shared" si="1"/>
        <v>4.9087385212340517E-2</v>
      </c>
      <c r="H37">
        <v>25</v>
      </c>
    </row>
    <row r="38" spans="1:8" x14ac:dyDescent="0.25">
      <c r="A38">
        <f t="shared" si="2"/>
        <v>36</v>
      </c>
      <c r="B38">
        <f t="shared" si="3"/>
        <v>11</v>
      </c>
      <c r="C38" s="1">
        <f t="shared" si="0"/>
        <v>9.3157374578043909E-3</v>
      </c>
      <c r="D38" s="1">
        <v>9.3157374578043892E-3</v>
      </c>
      <c r="F38">
        <v>375</v>
      </c>
      <c r="G38">
        <f t="shared" si="1"/>
        <v>4.9087385212340517E-2</v>
      </c>
      <c r="H38">
        <v>25</v>
      </c>
    </row>
    <row r="39" spans="1:8" x14ac:dyDescent="0.25">
      <c r="A39">
        <f t="shared" si="2"/>
        <v>37</v>
      </c>
      <c r="B39">
        <f t="shared" si="3"/>
        <v>12</v>
      </c>
      <c r="C39" s="1">
        <f t="shared" si="0"/>
        <v>8.3836143723138943E-3</v>
      </c>
      <c r="D39" s="1">
        <v>8.3836143723138908E-3</v>
      </c>
      <c r="F39">
        <v>375</v>
      </c>
      <c r="G39">
        <f t="shared" si="1"/>
        <v>4.9087385212340517E-2</v>
      </c>
      <c r="H39">
        <v>25</v>
      </c>
    </row>
    <row r="40" spans="1:8" x14ac:dyDescent="0.25">
      <c r="A40">
        <f t="shared" si="2"/>
        <v>38</v>
      </c>
      <c r="B40">
        <f t="shared" si="3"/>
        <v>13</v>
      </c>
      <c r="C40" s="1">
        <f t="shared" si="0"/>
        <v>7.4551030528155439E-3</v>
      </c>
      <c r="D40" s="1">
        <v>7.4551030528155404E-3</v>
      </c>
      <c r="F40">
        <v>375</v>
      </c>
      <c r="G40">
        <f t="shared" si="1"/>
        <v>4.9087385212340517E-2</v>
      </c>
      <c r="H40">
        <v>25</v>
      </c>
    </row>
    <row r="41" spans="1:8" x14ac:dyDescent="0.25">
      <c r="A41">
        <f t="shared" si="2"/>
        <v>39</v>
      </c>
      <c r="B41">
        <f t="shared" si="3"/>
        <v>14</v>
      </c>
      <c r="C41" s="1">
        <f t="shared" si="0"/>
        <v>6.5456014403116221E-3</v>
      </c>
      <c r="D41" s="1">
        <v>6.5456014403116203E-3</v>
      </c>
      <c r="F41">
        <v>375</v>
      </c>
      <c r="G41">
        <f t="shared" si="1"/>
        <v>4.9087385212340517E-2</v>
      </c>
      <c r="H41">
        <v>25</v>
      </c>
    </row>
    <row r="42" spans="1:8" x14ac:dyDescent="0.25">
      <c r="A42">
        <f t="shared" si="2"/>
        <v>40</v>
      </c>
      <c r="B42">
        <f t="shared" si="3"/>
        <v>15</v>
      </c>
      <c r="C42" s="1">
        <f t="shared" si="0"/>
        <v>5.6697610709604872E-3</v>
      </c>
      <c r="D42" s="1">
        <v>5.6697610709604898E-3</v>
      </c>
      <c r="F42">
        <v>375</v>
      </c>
      <c r="G42">
        <f t="shared" si="1"/>
        <v>4.9087385212340517E-2</v>
      </c>
      <c r="H42">
        <v>25</v>
      </c>
    </row>
    <row r="43" spans="1:8" x14ac:dyDescent="0.25">
      <c r="A43">
        <f t="shared" si="2"/>
        <v>41</v>
      </c>
      <c r="B43">
        <f t="shared" si="3"/>
        <v>16</v>
      </c>
      <c r="C43" s="1">
        <f t="shared" si="0"/>
        <v>4.8411911065160459E-3</v>
      </c>
      <c r="D43" s="1">
        <v>4.8411911065160502E-3</v>
      </c>
      <c r="F43">
        <v>375</v>
      </c>
      <c r="G43">
        <f t="shared" si="1"/>
        <v>4.9087385212340517E-2</v>
      </c>
      <c r="H43">
        <v>25</v>
      </c>
    </row>
    <row r="44" spans="1:8" x14ac:dyDescent="0.25">
      <c r="A44">
        <f t="shared" si="2"/>
        <v>42</v>
      </c>
      <c r="B44">
        <f t="shared" si="3"/>
        <v>17</v>
      </c>
      <c r="C44" s="1">
        <f t="shared" si="0"/>
        <v>4.072189546823971E-3</v>
      </c>
      <c r="D44" s="1">
        <v>4.0721895468239701E-3</v>
      </c>
      <c r="F44">
        <v>375</v>
      </c>
      <c r="G44">
        <f t="shared" si="1"/>
        <v>4.9087385212340517E-2</v>
      </c>
      <c r="H44">
        <v>25</v>
      </c>
    </row>
    <row r="45" spans="1:8" x14ac:dyDescent="0.25">
      <c r="A45">
        <f t="shared" si="2"/>
        <v>43</v>
      </c>
      <c r="B45">
        <f t="shared" si="3"/>
        <v>18</v>
      </c>
      <c r="C45" s="1">
        <f t="shared" si="0"/>
        <v>3.3735075466673043E-3</v>
      </c>
      <c r="D45" s="1">
        <v>3.3735075466673E-3</v>
      </c>
      <c r="F45">
        <v>375</v>
      </c>
      <c r="G45">
        <f t="shared" si="1"/>
        <v>4.9087385212340517E-2</v>
      </c>
      <c r="H45">
        <v>25</v>
      </c>
    </row>
    <row r="46" spans="1:8" x14ac:dyDescent="0.25">
      <c r="A46">
        <f t="shared" si="2"/>
        <v>44</v>
      </c>
      <c r="B46">
        <f t="shared" si="3"/>
        <v>19</v>
      </c>
      <c r="C46" s="1">
        <f t="shared" si="0"/>
        <v>2.7541519108657221E-3</v>
      </c>
      <c r="D46" s="1">
        <v>2.7541519108657199E-3</v>
      </c>
      <c r="F46">
        <v>375</v>
      </c>
      <c r="G46">
        <f t="shared" si="1"/>
        <v>4.9087385212340517E-2</v>
      </c>
      <c r="H46">
        <v>25</v>
      </c>
    </row>
    <row r="47" spans="1:8" x14ac:dyDescent="0.25">
      <c r="A47">
        <f t="shared" si="2"/>
        <v>45</v>
      </c>
      <c r="B47">
        <f t="shared" si="3"/>
        <v>20</v>
      </c>
      <c r="C47" s="1">
        <f t="shared" si="0"/>
        <v>2.2212298755650214E-3</v>
      </c>
      <c r="D47" s="1">
        <v>2.2212298755650201E-3</v>
      </c>
      <c r="F47">
        <v>375</v>
      </c>
      <c r="G47">
        <f t="shared" si="1"/>
        <v>4.9087385212340517E-2</v>
      </c>
      <c r="H47">
        <v>25</v>
      </c>
    </row>
    <row r="48" spans="1:8" x14ac:dyDescent="0.25">
      <c r="A48">
        <f t="shared" si="2"/>
        <v>46</v>
      </c>
      <c r="B48">
        <f t="shared" si="3"/>
        <v>21</v>
      </c>
      <c r="C48" s="1">
        <f t="shared" si="0"/>
        <v>1.7798392251519989E-3</v>
      </c>
      <c r="D48" s="1">
        <v>1.779839225152E-3</v>
      </c>
      <c r="F48">
        <v>375</v>
      </c>
      <c r="G48">
        <f t="shared" si="1"/>
        <v>4.9087385212340517E-2</v>
      </c>
      <c r="H48">
        <v>25</v>
      </c>
    </row>
    <row r="49" spans="1:8" x14ac:dyDescent="0.25">
      <c r="A49">
        <f t="shared" si="2"/>
        <v>47</v>
      </c>
      <c r="B49">
        <f t="shared" si="3"/>
        <v>22</v>
      </c>
      <c r="C49" s="1">
        <f t="shared" si="0"/>
        <v>1.4330056704433367E-3</v>
      </c>
      <c r="D49" s="1">
        <v>1.43300567044334E-3</v>
      </c>
      <c r="F49">
        <v>375</v>
      </c>
      <c r="G49">
        <f t="shared" si="1"/>
        <v>4.9087385212340517E-2</v>
      </c>
      <c r="H49">
        <v>25</v>
      </c>
    </row>
    <row r="50" spans="1:8" x14ac:dyDescent="0.25">
      <c r="A50">
        <f t="shared" si="2"/>
        <v>48</v>
      </c>
      <c r="B50">
        <f t="shared" si="3"/>
        <v>23</v>
      </c>
      <c r="C50" s="1">
        <f t="shared" si="0"/>
        <v>1.1816682534590507E-3</v>
      </c>
      <c r="D50" s="1">
        <v>1.1816682534590501E-3</v>
      </c>
      <c r="F50">
        <v>375</v>
      </c>
      <c r="G50">
        <f t="shared" si="1"/>
        <v>4.9087385212340517E-2</v>
      </c>
      <c r="H50">
        <v>25</v>
      </c>
    </row>
    <row r="51" spans="1:8" x14ac:dyDescent="0.25">
      <c r="A51">
        <f t="shared" si="2"/>
        <v>49</v>
      </c>
      <c r="B51">
        <f t="shared" si="3"/>
        <v>24</v>
      </c>
      <c r="C51" s="1">
        <f t="shared" si="0"/>
        <v>1.0247123766684233E-3</v>
      </c>
      <c r="D51" s="1">
        <v>1.0247123766684201E-3</v>
      </c>
      <c r="F51">
        <v>375</v>
      </c>
      <c r="G51">
        <f t="shared" si="1"/>
        <v>4.9087385212340517E-2</v>
      </c>
      <c r="H51">
        <v>25</v>
      </c>
    </row>
    <row r="52" spans="1:8" x14ac:dyDescent="0.25">
      <c r="A52">
        <f t="shared" si="2"/>
        <v>50</v>
      </c>
      <c r="B52">
        <f t="shared" si="3"/>
        <v>25</v>
      </c>
      <c r="C52" s="1">
        <f t="shared" si="0"/>
        <v>9.5904890952137921E-4</v>
      </c>
      <c r="D52" s="1">
        <v>9.59048909521379E-4</v>
      </c>
      <c r="F52">
        <v>375</v>
      </c>
      <c r="G52">
        <f t="shared" si="1"/>
        <v>4.9087385212340517E-2</v>
      </c>
      <c r="H52">
        <v>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EED2-5573-4D1C-B801-AF85112D2D34}">
  <dimension ref="A1:H52"/>
  <sheetViews>
    <sheetView workbookViewId="0">
      <selection activeCell="C28" sqref="C28"/>
    </sheetView>
  </sheetViews>
  <sheetFormatPr defaultRowHeight="15" x14ac:dyDescent="0.25"/>
  <cols>
    <col min="1" max="1" width="15.140625" bestFit="1" customWidth="1"/>
    <col min="2" max="2" width="18.28515625" bestFit="1" customWidth="1"/>
    <col min="3" max="3" width="19.28515625" style="1" bestFit="1" customWidth="1"/>
    <col min="4" max="4" width="20.42578125" style="1" bestFit="1" customWidth="1"/>
    <col min="5" max="5" width="20.5703125" bestFit="1" customWidth="1"/>
    <col min="6" max="6" width="22.140625" bestFit="1" customWidth="1"/>
    <col min="7" max="7" width="16.28515625" customWidth="1"/>
  </cols>
  <sheetData>
    <row r="1" spans="1:8" x14ac:dyDescent="0.25">
      <c r="A1" t="s">
        <v>1</v>
      </c>
      <c r="B1" t="s">
        <v>3</v>
      </c>
      <c r="C1" s="1" t="s">
        <v>2</v>
      </c>
      <c r="D1" s="1" t="s">
        <v>0</v>
      </c>
      <c r="E1" t="s">
        <v>11</v>
      </c>
      <c r="F1" t="s">
        <v>10</v>
      </c>
      <c r="G1" t="s">
        <v>8</v>
      </c>
      <c r="H1" t="s">
        <v>4</v>
      </c>
    </row>
    <row r="2" spans="1:8" x14ac:dyDescent="0.25">
      <c r="A2">
        <v>0</v>
      </c>
      <c r="B2">
        <v>-25</v>
      </c>
      <c r="C2" s="1">
        <f>(SIN(B2*G2)/(B2*PI()))*(0.54+0.46*COS((B2*PI())/H2))*COS(B2*PI())</f>
        <v>9.1354707289156368E-4</v>
      </c>
      <c r="D2" s="1">
        <v>9.1354707289156498E-4</v>
      </c>
      <c r="E2">
        <v>3500</v>
      </c>
      <c r="F2">
        <f>24000-E2</f>
        <v>20500</v>
      </c>
      <c r="G2">
        <f xml:space="preserve"> (F2/48000)*2*PI()</f>
        <v>2.6834437249412817</v>
      </c>
      <c r="H2">
        <v>25</v>
      </c>
    </row>
    <row r="3" spans="1:8" x14ac:dyDescent="0.25">
      <c r="A3">
        <f>SUM(A2+1)</f>
        <v>1</v>
      </c>
      <c r="B3">
        <f>SUM(B2+1)</f>
        <v>-24</v>
      </c>
      <c r="C3" s="1">
        <f t="shared" ref="C3:C52" si="0">(SIN(B3*G3)/(B3*PI()))*(0.54+0.46*COS((B3*PI())/H3))*COS(B3*PI())</f>
        <v>1.109140684048983E-3</v>
      </c>
      <c r="D3" s="1">
        <v>1.10914068404898E-3</v>
      </c>
      <c r="E3">
        <v>3500</v>
      </c>
      <c r="F3">
        <f t="shared" ref="F3:F52" si="1">24000-E3</f>
        <v>20500</v>
      </c>
      <c r="G3">
        <f t="shared" ref="G3:G52" si="2" xml:space="preserve"> (F3/48000)*2*PI()</f>
        <v>2.6834437249412817</v>
      </c>
      <c r="H3">
        <v>25</v>
      </c>
    </row>
    <row r="4" spans="1:8" x14ac:dyDescent="0.25">
      <c r="A4">
        <f t="shared" ref="A4:B52" si="3">SUM(A3+1)</f>
        <v>2</v>
      </c>
      <c r="B4">
        <f t="shared" si="3"/>
        <v>-23</v>
      </c>
      <c r="C4" s="1">
        <f t="shared" si="0"/>
        <v>1.1723657062354647E-3</v>
      </c>
      <c r="D4" s="1">
        <v>1.1723657062354699E-3</v>
      </c>
      <c r="E4">
        <v>3500</v>
      </c>
      <c r="F4">
        <f t="shared" si="1"/>
        <v>20500</v>
      </c>
      <c r="G4">
        <f t="shared" si="2"/>
        <v>2.6834437249412817</v>
      </c>
      <c r="H4">
        <v>25</v>
      </c>
    </row>
    <row r="5" spans="1:8" x14ac:dyDescent="0.25">
      <c r="A5">
        <f t="shared" si="3"/>
        <v>3</v>
      </c>
      <c r="B5">
        <f t="shared" si="3"/>
        <v>-22</v>
      </c>
      <c r="C5" s="1">
        <f t="shared" si="0"/>
        <v>9.891569859824883E-4</v>
      </c>
      <c r="D5" s="1">
        <v>9.891569859824729E-4</v>
      </c>
      <c r="E5">
        <v>3500</v>
      </c>
      <c r="F5">
        <f t="shared" si="1"/>
        <v>20500</v>
      </c>
      <c r="G5">
        <f t="shared" si="2"/>
        <v>2.6834437249412817</v>
      </c>
      <c r="H5">
        <v>25</v>
      </c>
    </row>
    <row r="6" spans="1:8" x14ac:dyDescent="0.25">
      <c r="A6">
        <f t="shared" si="3"/>
        <v>4</v>
      </c>
      <c r="B6">
        <f t="shared" si="3"/>
        <v>-21</v>
      </c>
      <c r="C6" s="1">
        <f t="shared" si="0"/>
        <v>4.048243273262532E-4</v>
      </c>
      <c r="D6" s="1">
        <v>4.0482432732624599E-4</v>
      </c>
      <c r="E6">
        <v>3500</v>
      </c>
      <c r="F6">
        <f t="shared" si="1"/>
        <v>20500</v>
      </c>
      <c r="G6">
        <f t="shared" si="2"/>
        <v>2.6834437249412817</v>
      </c>
      <c r="H6">
        <v>25</v>
      </c>
    </row>
    <row r="7" spans="1:8" x14ac:dyDescent="0.25">
      <c r="A7">
        <f t="shared" si="3"/>
        <v>5</v>
      </c>
      <c r="B7">
        <f t="shared" si="3"/>
        <v>-20</v>
      </c>
      <c r="C7" s="1">
        <f t="shared" si="0"/>
        <v>-6.9142225625647331E-4</v>
      </c>
      <c r="D7" s="1">
        <v>-6.9142225625649001E-4</v>
      </c>
      <c r="E7">
        <v>3500</v>
      </c>
      <c r="F7">
        <f t="shared" si="1"/>
        <v>20500</v>
      </c>
      <c r="G7">
        <f t="shared" si="2"/>
        <v>2.6834437249412817</v>
      </c>
      <c r="H7">
        <v>25</v>
      </c>
    </row>
    <row r="8" spans="1:8" x14ac:dyDescent="0.25">
      <c r="A8">
        <f t="shared" si="3"/>
        <v>6</v>
      </c>
      <c r="B8">
        <f t="shared" si="3"/>
        <v>-19</v>
      </c>
      <c r="C8" s="1">
        <f t="shared" si="0"/>
        <v>-2.2608584523997727E-3</v>
      </c>
      <c r="D8" s="1">
        <v>-2.2608584523997502E-3</v>
      </c>
      <c r="E8">
        <v>3500</v>
      </c>
      <c r="F8">
        <f t="shared" si="1"/>
        <v>20500</v>
      </c>
      <c r="G8">
        <f t="shared" si="2"/>
        <v>2.6834437249412817</v>
      </c>
      <c r="H8">
        <v>25</v>
      </c>
    </row>
    <row r="9" spans="1:8" x14ac:dyDescent="0.25">
      <c r="A9">
        <f t="shared" si="3"/>
        <v>7</v>
      </c>
      <c r="B9">
        <f t="shared" si="3"/>
        <v>-18</v>
      </c>
      <c r="C9" s="1">
        <f t="shared" si="0"/>
        <v>-4.0319177594300374E-3</v>
      </c>
      <c r="D9" s="1">
        <v>-4.0319177594300504E-3</v>
      </c>
      <c r="E9">
        <v>3500</v>
      </c>
      <c r="F9">
        <f t="shared" si="1"/>
        <v>20500</v>
      </c>
      <c r="G9">
        <f t="shared" si="2"/>
        <v>2.6834437249412817</v>
      </c>
      <c r="H9">
        <v>25</v>
      </c>
    </row>
    <row r="10" spans="1:8" x14ac:dyDescent="0.25">
      <c r="A10">
        <f t="shared" si="3"/>
        <v>8</v>
      </c>
      <c r="B10">
        <f t="shared" si="3"/>
        <v>-17</v>
      </c>
      <c r="C10" s="1">
        <f t="shared" si="0"/>
        <v>-5.4841278154083694E-3</v>
      </c>
      <c r="D10" s="1">
        <v>-5.4841278154083798E-3</v>
      </c>
      <c r="E10">
        <v>3500</v>
      </c>
      <c r="F10">
        <f t="shared" si="1"/>
        <v>20500</v>
      </c>
      <c r="G10">
        <f t="shared" si="2"/>
        <v>2.6834437249412817</v>
      </c>
      <c r="H10">
        <v>25</v>
      </c>
    </row>
    <row r="11" spans="1:8" x14ac:dyDescent="0.25">
      <c r="A11">
        <f t="shared" si="3"/>
        <v>9</v>
      </c>
      <c r="B11">
        <f t="shared" si="3"/>
        <v>-16</v>
      </c>
      <c r="C11" s="1">
        <f t="shared" si="0"/>
        <v>-5.9292239791321009E-3</v>
      </c>
      <c r="D11" s="1">
        <v>-5.92922397913212E-3</v>
      </c>
      <c r="E11">
        <v>3500</v>
      </c>
      <c r="F11">
        <f t="shared" si="1"/>
        <v>20500</v>
      </c>
      <c r="G11">
        <f t="shared" si="2"/>
        <v>2.6834437249412817</v>
      </c>
      <c r="H11">
        <v>25</v>
      </c>
    </row>
    <row r="12" spans="1:8" x14ac:dyDescent="0.25">
      <c r="A12">
        <f t="shared" si="3"/>
        <v>10</v>
      </c>
      <c r="B12">
        <f t="shared" si="3"/>
        <v>-15</v>
      </c>
      <c r="C12" s="1">
        <f t="shared" si="0"/>
        <v>-4.6905047674877087E-3</v>
      </c>
      <c r="D12" s="1">
        <v>-4.6905047674876401E-3</v>
      </c>
      <c r="E12">
        <v>3500</v>
      </c>
      <c r="F12">
        <f t="shared" si="1"/>
        <v>20500</v>
      </c>
      <c r="G12">
        <f t="shared" si="2"/>
        <v>2.6834437249412817</v>
      </c>
      <c r="H12">
        <v>25</v>
      </c>
    </row>
    <row r="13" spans="1:8" x14ac:dyDescent="0.25">
      <c r="A13">
        <f t="shared" si="3"/>
        <v>11</v>
      </c>
      <c r="B13">
        <f t="shared" si="3"/>
        <v>-14</v>
      </c>
      <c r="C13" s="1">
        <f t="shared" si="0"/>
        <v>-1.3467551645353834E-3</v>
      </c>
      <c r="D13" s="1">
        <v>-1.3467551645354201E-3</v>
      </c>
      <c r="E13">
        <v>3500</v>
      </c>
      <c r="F13">
        <f t="shared" si="1"/>
        <v>20500</v>
      </c>
      <c r="G13">
        <f t="shared" si="2"/>
        <v>2.6834437249412817</v>
      </c>
      <c r="H13">
        <v>25</v>
      </c>
    </row>
    <row r="14" spans="1:8" x14ac:dyDescent="0.25">
      <c r="A14">
        <f t="shared" si="3"/>
        <v>12</v>
      </c>
      <c r="B14">
        <f t="shared" si="3"/>
        <v>-13</v>
      </c>
      <c r="C14" s="1">
        <f t="shared" si="0"/>
        <v>4.0227751165813662E-3</v>
      </c>
      <c r="D14" s="1">
        <v>4.0227751165813497E-3</v>
      </c>
      <c r="E14">
        <v>3500</v>
      </c>
      <c r="F14">
        <f t="shared" si="1"/>
        <v>20500</v>
      </c>
      <c r="G14">
        <f t="shared" si="2"/>
        <v>2.6834437249412817</v>
      </c>
      <c r="H14">
        <v>25</v>
      </c>
    </row>
    <row r="15" spans="1:8" x14ac:dyDescent="0.25">
      <c r="A15">
        <f t="shared" si="3"/>
        <v>13</v>
      </c>
      <c r="B15">
        <f t="shared" si="3"/>
        <v>-12</v>
      </c>
      <c r="C15" s="1">
        <f t="shared" si="0"/>
        <v>1.0670317128576277E-2</v>
      </c>
      <c r="D15" s="1">
        <v>1.06703171285762E-2</v>
      </c>
      <c r="E15">
        <v>3500</v>
      </c>
      <c r="F15">
        <f t="shared" si="1"/>
        <v>20500</v>
      </c>
      <c r="G15">
        <f t="shared" si="2"/>
        <v>2.6834437249412817</v>
      </c>
      <c r="H15">
        <v>25</v>
      </c>
    </row>
    <row r="16" spans="1:8" x14ac:dyDescent="0.25">
      <c r="A16">
        <f t="shared" si="3"/>
        <v>14</v>
      </c>
      <c r="B16">
        <f t="shared" si="3"/>
        <v>-11</v>
      </c>
      <c r="C16" s="1">
        <f t="shared" si="0"/>
        <v>1.7158734468738179E-2</v>
      </c>
      <c r="D16" s="1">
        <v>1.71587344687383E-2</v>
      </c>
      <c r="E16">
        <v>3500</v>
      </c>
      <c r="F16">
        <f t="shared" si="1"/>
        <v>20500</v>
      </c>
      <c r="G16">
        <f t="shared" si="2"/>
        <v>2.6834437249412817</v>
      </c>
      <c r="H16">
        <v>25</v>
      </c>
    </row>
    <row r="17" spans="1:8" x14ac:dyDescent="0.25">
      <c r="A17">
        <f t="shared" si="3"/>
        <v>15</v>
      </c>
      <c r="B17">
        <f t="shared" si="3"/>
        <v>-10</v>
      </c>
      <c r="C17" s="1">
        <f t="shared" si="0"/>
        <v>2.152767792788669E-2</v>
      </c>
      <c r="D17" s="1">
        <v>2.15276779278867E-2</v>
      </c>
      <c r="E17">
        <v>3500</v>
      </c>
      <c r="F17">
        <f t="shared" si="1"/>
        <v>20500</v>
      </c>
      <c r="G17">
        <f t="shared" si="2"/>
        <v>2.6834437249412817</v>
      </c>
      <c r="H17">
        <v>25</v>
      </c>
    </row>
    <row r="18" spans="1:8" x14ac:dyDescent="0.25">
      <c r="A18">
        <f t="shared" si="3"/>
        <v>16</v>
      </c>
      <c r="B18">
        <f t="shared" si="3"/>
        <v>-9</v>
      </c>
      <c r="C18" s="1">
        <f t="shared" si="0"/>
        <v>2.1639553481006605E-2</v>
      </c>
      <c r="D18" s="1">
        <v>2.1639553481006601E-2</v>
      </c>
      <c r="E18">
        <v>3500</v>
      </c>
      <c r="F18">
        <f t="shared" si="1"/>
        <v>20500</v>
      </c>
      <c r="G18">
        <f t="shared" si="2"/>
        <v>2.6834437249412817</v>
      </c>
      <c r="H18">
        <v>25</v>
      </c>
    </row>
    <row r="19" spans="1:8" x14ac:dyDescent="0.25">
      <c r="A19">
        <f t="shared" si="3"/>
        <v>17</v>
      </c>
      <c r="B19">
        <f t="shared" si="3"/>
        <v>-8</v>
      </c>
      <c r="C19" s="1">
        <f t="shared" si="0"/>
        <v>1.5646528934767645E-2</v>
      </c>
      <c r="D19" s="1">
        <v>1.56465289347676E-2</v>
      </c>
      <c r="E19">
        <v>3500</v>
      </c>
      <c r="F19">
        <f t="shared" si="1"/>
        <v>20500</v>
      </c>
      <c r="G19">
        <f t="shared" si="2"/>
        <v>2.6834437249412817</v>
      </c>
      <c r="H19">
        <v>25</v>
      </c>
    </row>
    <row r="20" spans="1:8" x14ac:dyDescent="0.25">
      <c r="A20">
        <f t="shared" si="3"/>
        <v>18</v>
      </c>
      <c r="B20">
        <f t="shared" si="3"/>
        <v>-7</v>
      </c>
      <c r="C20" s="1">
        <f t="shared" si="0"/>
        <v>2.4780365810831476E-3</v>
      </c>
      <c r="D20" s="1">
        <v>2.47803658108322E-3</v>
      </c>
      <c r="E20">
        <v>3500</v>
      </c>
      <c r="F20">
        <f t="shared" si="1"/>
        <v>20500</v>
      </c>
      <c r="G20">
        <f t="shared" si="2"/>
        <v>2.6834437249412817</v>
      </c>
      <c r="H20">
        <v>25</v>
      </c>
    </row>
    <row r="21" spans="1:8" x14ac:dyDescent="0.25">
      <c r="A21">
        <f t="shared" si="3"/>
        <v>19</v>
      </c>
      <c r="B21">
        <f t="shared" si="3"/>
        <v>-6</v>
      </c>
      <c r="C21" s="1">
        <f t="shared" si="0"/>
        <v>-1.7770847993894171E-2</v>
      </c>
      <c r="D21" s="1">
        <v>-1.7770847993894098E-2</v>
      </c>
      <c r="E21">
        <v>3500</v>
      </c>
      <c r="F21">
        <f t="shared" si="1"/>
        <v>20500</v>
      </c>
      <c r="G21">
        <f t="shared" si="2"/>
        <v>2.6834437249412817</v>
      </c>
      <c r="H21">
        <v>25</v>
      </c>
    </row>
    <row r="22" spans="1:8" x14ac:dyDescent="0.25">
      <c r="A22">
        <f t="shared" si="3"/>
        <v>20</v>
      </c>
      <c r="B22">
        <f t="shared" si="3"/>
        <v>-5</v>
      </c>
      <c r="C22" s="1">
        <f t="shared" si="0"/>
        <v>-4.3658686217777881E-2</v>
      </c>
      <c r="D22" s="1">
        <v>-4.3658686217777902E-2</v>
      </c>
      <c r="E22">
        <v>3500</v>
      </c>
      <c r="F22">
        <f t="shared" si="1"/>
        <v>20500</v>
      </c>
      <c r="G22">
        <f t="shared" si="2"/>
        <v>2.6834437249412817</v>
      </c>
      <c r="H22">
        <v>25</v>
      </c>
    </row>
    <row r="23" spans="1:8" x14ac:dyDescent="0.25">
      <c r="A23">
        <f t="shared" si="3"/>
        <v>21</v>
      </c>
      <c r="B23">
        <f t="shared" si="3"/>
        <v>-4</v>
      </c>
      <c r="C23" s="1">
        <f t="shared" si="0"/>
        <v>-7.2492345721286169E-2</v>
      </c>
      <c r="D23" s="1">
        <v>-7.2492345721286197E-2</v>
      </c>
      <c r="E23">
        <v>3500</v>
      </c>
      <c r="F23">
        <f t="shared" si="1"/>
        <v>20500</v>
      </c>
      <c r="G23">
        <f t="shared" si="2"/>
        <v>2.6834437249412817</v>
      </c>
      <c r="H23">
        <v>25</v>
      </c>
    </row>
    <row r="24" spans="1:8" x14ac:dyDescent="0.25">
      <c r="A24">
        <f t="shared" si="3"/>
        <v>22</v>
      </c>
      <c r="B24">
        <f t="shared" si="3"/>
        <v>-3</v>
      </c>
      <c r="C24" s="1">
        <f t="shared" si="0"/>
        <v>-0.10070297225287793</v>
      </c>
      <c r="D24" s="1">
        <v>-0.100702972252878</v>
      </c>
      <c r="E24">
        <v>3500</v>
      </c>
      <c r="F24">
        <f t="shared" si="1"/>
        <v>20500</v>
      </c>
      <c r="G24">
        <f t="shared" si="2"/>
        <v>2.6834437249412817</v>
      </c>
      <c r="H24">
        <v>25</v>
      </c>
    </row>
    <row r="25" spans="1:8" x14ac:dyDescent="0.25">
      <c r="A25">
        <f t="shared" si="3"/>
        <v>23</v>
      </c>
      <c r="B25">
        <f t="shared" si="3"/>
        <v>-2</v>
      </c>
      <c r="C25" s="1">
        <f t="shared" si="0"/>
        <v>-0.12444134005250515</v>
      </c>
      <c r="D25" s="1">
        <v>-0.124441340052505</v>
      </c>
      <c r="E25">
        <v>3500</v>
      </c>
      <c r="F25">
        <f t="shared" si="1"/>
        <v>20500</v>
      </c>
      <c r="G25">
        <f t="shared" si="2"/>
        <v>2.6834437249412817</v>
      </c>
      <c r="H25">
        <v>25</v>
      </c>
    </row>
    <row r="26" spans="1:8" x14ac:dyDescent="0.25">
      <c r="A26">
        <f t="shared" si="3"/>
        <v>24</v>
      </c>
      <c r="B26">
        <f t="shared" si="3"/>
        <v>-1</v>
      </c>
      <c r="C26" s="1">
        <f t="shared" si="0"/>
        <v>-0.14027420252550807</v>
      </c>
      <c r="D26" s="1">
        <v>-0.14027420252550801</v>
      </c>
      <c r="E26">
        <v>3500</v>
      </c>
      <c r="F26">
        <f t="shared" si="1"/>
        <v>20500</v>
      </c>
      <c r="G26">
        <f t="shared" si="2"/>
        <v>2.6834437249412817</v>
      </c>
      <c r="H26">
        <v>25</v>
      </c>
    </row>
    <row r="27" spans="1:8" x14ac:dyDescent="0.25">
      <c r="A27">
        <f t="shared" si="3"/>
        <v>25</v>
      </c>
      <c r="B27">
        <f t="shared" si="3"/>
        <v>0</v>
      </c>
      <c r="C27" s="1">
        <f>G27/PI()</f>
        <v>0.85416666666666674</v>
      </c>
      <c r="D27" s="1">
        <v>0.85416666666666696</v>
      </c>
      <c r="E27">
        <v>3500</v>
      </c>
      <c r="F27">
        <f t="shared" si="1"/>
        <v>20500</v>
      </c>
      <c r="G27">
        <f t="shared" si="2"/>
        <v>2.6834437249412817</v>
      </c>
      <c r="H27">
        <v>25</v>
      </c>
    </row>
    <row r="28" spans="1:8" x14ac:dyDescent="0.25">
      <c r="A28">
        <f t="shared" si="3"/>
        <v>26</v>
      </c>
      <c r="B28">
        <f t="shared" si="3"/>
        <v>1</v>
      </c>
      <c r="C28" s="1">
        <f>(SIN(B28*G28)/(B28*PI()))*(0.54+0.46*COS((B28*PI())/H28))*COS(B28*PI())</f>
        <v>-0.14027420252550807</v>
      </c>
      <c r="D28" s="1">
        <v>-0.14027420252550801</v>
      </c>
      <c r="E28">
        <v>3500</v>
      </c>
      <c r="F28">
        <f t="shared" si="1"/>
        <v>20500</v>
      </c>
      <c r="G28">
        <f t="shared" si="2"/>
        <v>2.6834437249412817</v>
      </c>
      <c r="H28">
        <v>25</v>
      </c>
    </row>
    <row r="29" spans="1:8" x14ac:dyDescent="0.25">
      <c r="A29">
        <f t="shared" si="3"/>
        <v>27</v>
      </c>
      <c r="B29">
        <f t="shared" si="3"/>
        <v>2</v>
      </c>
      <c r="C29" s="1">
        <f t="shared" si="0"/>
        <v>-0.12444134005250515</v>
      </c>
      <c r="D29" s="1">
        <v>-0.124441340052505</v>
      </c>
      <c r="E29">
        <v>3500</v>
      </c>
      <c r="F29">
        <f t="shared" si="1"/>
        <v>20500</v>
      </c>
      <c r="G29">
        <f t="shared" si="2"/>
        <v>2.6834437249412817</v>
      </c>
      <c r="H29">
        <v>25</v>
      </c>
    </row>
    <row r="30" spans="1:8" x14ac:dyDescent="0.25">
      <c r="A30">
        <f t="shared" si="3"/>
        <v>28</v>
      </c>
      <c r="B30">
        <f t="shared" si="3"/>
        <v>3</v>
      </c>
      <c r="C30" s="1">
        <f t="shared" si="0"/>
        <v>-0.10070297225287793</v>
      </c>
      <c r="D30" s="1">
        <v>-0.100702972252878</v>
      </c>
      <c r="E30">
        <v>3500</v>
      </c>
      <c r="F30">
        <f t="shared" si="1"/>
        <v>20500</v>
      </c>
      <c r="G30">
        <f t="shared" si="2"/>
        <v>2.6834437249412817</v>
      </c>
      <c r="H30">
        <v>25</v>
      </c>
    </row>
    <row r="31" spans="1:8" x14ac:dyDescent="0.25">
      <c r="A31">
        <f t="shared" si="3"/>
        <v>29</v>
      </c>
      <c r="B31">
        <f t="shared" si="3"/>
        <v>4</v>
      </c>
      <c r="C31" s="1">
        <f t="shared" si="0"/>
        <v>-7.2492345721286169E-2</v>
      </c>
      <c r="D31" s="1">
        <v>-7.2492345721286197E-2</v>
      </c>
      <c r="E31">
        <v>3500</v>
      </c>
      <c r="F31">
        <f t="shared" si="1"/>
        <v>20500</v>
      </c>
      <c r="G31">
        <f t="shared" si="2"/>
        <v>2.6834437249412817</v>
      </c>
      <c r="H31">
        <v>25</v>
      </c>
    </row>
    <row r="32" spans="1:8" x14ac:dyDescent="0.25">
      <c r="A32">
        <f t="shared" si="3"/>
        <v>30</v>
      </c>
      <c r="B32">
        <f t="shared" si="3"/>
        <v>5</v>
      </c>
      <c r="C32" s="1">
        <f t="shared" si="0"/>
        <v>-4.3658686217777881E-2</v>
      </c>
      <c r="D32" s="1">
        <v>-4.3658686217777902E-2</v>
      </c>
      <c r="E32">
        <v>3500</v>
      </c>
      <c r="F32">
        <f t="shared" si="1"/>
        <v>20500</v>
      </c>
      <c r="G32">
        <f t="shared" si="2"/>
        <v>2.6834437249412817</v>
      </c>
      <c r="H32">
        <v>25</v>
      </c>
    </row>
    <row r="33" spans="1:8" x14ac:dyDescent="0.25">
      <c r="A33">
        <f t="shared" si="3"/>
        <v>31</v>
      </c>
      <c r="B33">
        <f t="shared" si="3"/>
        <v>6</v>
      </c>
      <c r="C33" s="1">
        <f t="shared" si="0"/>
        <v>-1.7770847993894171E-2</v>
      </c>
      <c r="D33" s="1">
        <v>-1.7770847993894098E-2</v>
      </c>
      <c r="E33">
        <v>3500</v>
      </c>
      <c r="F33">
        <f t="shared" si="1"/>
        <v>20500</v>
      </c>
      <c r="G33">
        <f t="shared" si="2"/>
        <v>2.6834437249412817</v>
      </c>
      <c r="H33">
        <v>25</v>
      </c>
    </row>
    <row r="34" spans="1:8" x14ac:dyDescent="0.25">
      <c r="A34">
        <f t="shared" si="3"/>
        <v>32</v>
      </c>
      <c r="B34">
        <f t="shared" si="3"/>
        <v>7</v>
      </c>
      <c r="C34" s="1">
        <f t="shared" si="0"/>
        <v>2.4780365810831476E-3</v>
      </c>
      <c r="D34" s="1">
        <v>2.47803658108322E-3</v>
      </c>
      <c r="E34">
        <v>3500</v>
      </c>
      <c r="F34">
        <f t="shared" si="1"/>
        <v>20500</v>
      </c>
      <c r="G34">
        <f t="shared" si="2"/>
        <v>2.6834437249412817</v>
      </c>
      <c r="H34">
        <v>25</v>
      </c>
    </row>
    <row r="35" spans="1:8" x14ac:dyDescent="0.25">
      <c r="A35">
        <f t="shared" si="3"/>
        <v>33</v>
      </c>
      <c r="B35">
        <f t="shared" si="3"/>
        <v>8</v>
      </c>
      <c r="C35" s="1">
        <f t="shared" si="0"/>
        <v>1.5646528934767645E-2</v>
      </c>
      <c r="D35" s="1">
        <v>1.56465289347676E-2</v>
      </c>
      <c r="E35">
        <v>3500</v>
      </c>
      <c r="F35">
        <f t="shared" si="1"/>
        <v>20500</v>
      </c>
      <c r="G35">
        <f t="shared" si="2"/>
        <v>2.6834437249412817</v>
      </c>
      <c r="H35">
        <v>25</v>
      </c>
    </row>
    <row r="36" spans="1:8" x14ac:dyDescent="0.25">
      <c r="A36">
        <f t="shared" si="3"/>
        <v>34</v>
      </c>
      <c r="B36">
        <f t="shared" si="3"/>
        <v>9</v>
      </c>
      <c r="C36" s="1">
        <f t="shared" si="0"/>
        <v>2.1639553481006605E-2</v>
      </c>
      <c r="D36" s="1">
        <v>2.1639553481006601E-2</v>
      </c>
      <c r="E36">
        <v>3500</v>
      </c>
      <c r="F36">
        <f t="shared" si="1"/>
        <v>20500</v>
      </c>
      <c r="G36">
        <f t="shared" si="2"/>
        <v>2.6834437249412817</v>
      </c>
      <c r="H36">
        <v>25</v>
      </c>
    </row>
    <row r="37" spans="1:8" x14ac:dyDescent="0.25">
      <c r="A37">
        <f t="shared" si="3"/>
        <v>35</v>
      </c>
      <c r="B37">
        <f t="shared" si="3"/>
        <v>10</v>
      </c>
      <c r="C37" s="1">
        <f t="shared" si="0"/>
        <v>2.152767792788669E-2</v>
      </c>
      <c r="D37" s="1">
        <v>2.15276779278867E-2</v>
      </c>
      <c r="E37">
        <v>3500</v>
      </c>
      <c r="F37">
        <f t="shared" si="1"/>
        <v>20500</v>
      </c>
      <c r="G37">
        <f t="shared" si="2"/>
        <v>2.6834437249412817</v>
      </c>
      <c r="H37">
        <v>25</v>
      </c>
    </row>
    <row r="38" spans="1:8" x14ac:dyDescent="0.25">
      <c r="A38">
        <f t="shared" si="3"/>
        <v>36</v>
      </c>
      <c r="B38">
        <f t="shared" si="3"/>
        <v>11</v>
      </c>
      <c r="C38" s="1">
        <f t="shared" si="0"/>
        <v>1.7158734468738179E-2</v>
      </c>
      <c r="D38" s="1">
        <v>1.71587344687383E-2</v>
      </c>
      <c r="E38">
        <v>3500</v>
      </c>
      <c r="F38">
        <f t="shared" si="1"/>
        <v>20500</v>
      </c>
      <c r="G38">
        <f t="shared" si="2"/>
        <v>2.6834437249412817</v>
      </c>
      <c r="H38">
        <v>25</v>
      </c>
    </row>
    <row r="39" spans="1:8" x14ac:dyDescent="0.25">
      <c r="A39">
        <f t="shared" si="3"/>
        <v>37</v>
      </c>
      <c r="B39">
        <f t="shared" si="3"/>
        <v>12</v>
      </c>
      <c r="C39" s="1">
        <f t="shared" si="0"/>
        <v>1.0670317128576277E-2</v>
      </c>
      <c r="D39" s="1">
        <v>1.06703171285762E-2</v>
      </c>
      <c r="E39">
        <v>3500</v>
      </c>
      <c r="F39">
        <f t="shared" si="1"/>
        <v>20500</v>
      </c>
      <c r="G39">
        <f t="shared" si="2"/>
        <v>2.6834437249412817</v>
      </c>
      <c r="H39">
        <v>25</v>
      </c>
    </row>
    <row r="40" spans="1:8" x14ac:dyDescent="0.25">
      <c r="A40">
        <f t="shared" si="3"/>
        <v>38</v>
      </c>
      <c r="B40">
        <f t="shared" si="3"/>
        <v>13</v>
      </c>
      <c r="C40" s="1">
        <f t="shared" si="0"/>
        <v>4.0227751165813662E-3</v>
      </c>
      <c r="D40" s="1">
        <v>4.0227751165813497E-3</v>
      </c>
      <c r="E40">
        <v>3500</v>
      </c>
      <c r="F40">
        <f t="shared" si="1"/>
        <v>20500</v>
      </c>
      <c r="G40">
        <f t="shared" si="2"/>
        <v>2.6834437249412817</v>
      </c>
      <c r="H40">
        <v>25</v>
      </c>
    </row>
    <row r="41" spans="1:8" x14ac:dyDescent="0.25">
      <c r="A41">
        <f t="shared" si="3"/>
        <v>39</v>
      </c>
      <c r="B41">
        <f t="shared" si="3"/>
        <v>14</v>
      </c>
      <c r="C41" s="1">
        <f t="shared" si="0"/>
        <v>-1.3467551645353834E-3</v>
      </c>
      <c r="D41" s="1">
        <v>-1.3467551645354201E-3</v>
      </c>
      <c r="E41">
        <v>3500</v>
      </c>
      <c r="F41">
        <f t="shared" si="1"/>
        <v>20500</v>
      </c>
      <c r="G41">
        <f t="shared" si="2"/>
        <v>2.6834437249412817</v>
      </c>
      <c r="H41">
        <v>25</v>
      </c>
    </row>
    <row r="42" spans="1:8" x14ac:dyDescent="0.25">
      <c r="A42">
        <f t="shared" si="3"/>
        <v>40</v>
      </c>
      <c r="B42">
        <f t="shared" si="3"/>
        <v>15</v>
      </c>
      <c r="C42" s="1">
        <f t="shared" si="0"/>
        <v>-4.6905047674877087E-3</v>
      </c>
      <c r="D42" s="1">
        <v>-4.6905047674876401E-3</v>
      </c>
      <c r="E42">
        <v>3500</v>
      </c>
      <c r="F42">
        <f t="shared" si="1"/>
        <v>20500</v>
      </c>
      <c r="G42">
        <f t="shared" si="2"/>
        <v>2.6834437249412817</v>
      </c>
      <c r="H42">
        <v>25</v>
      </c>
    </row>
    <row r="43" spans="1:8" x14ac:dyDescent="0.25">
      <c r="A43">
        <f t="shared" si="3"/>
        <v>41</v>
      </c>
      <c r="B43">
        <f t="shared" si="3"/>
        <v>16</v>
      </c>
      <c r="C43" s="1">
        <f t="shared" si="0"/>
        <v>-5.9292239791321009E-3</v>
      </c>
      <c r="D43" s="1">
        <v>-5.92922397913212E-3</v>
      </c>
      <c r="E43">
        <v>3500</v>
      </c>
      <c r="F43">
        <f t="shared" si="1"/>
        <v>20500</v>
      </c>
      <c r="G43">
        <f t="shared" si="2"/>
        <v>2.6834437249412817</v>
      </c>
      <c r="H43">
        <v>25</v>
      </c>
    </row>
    <row r="44" spans="1:8" x14ac:dyDescent="0.25">
      <c r="A44">
        <f t="shared" si="3"/>
        <v>42</v>
      </c>
      <c r="B44">
        <f t="shared" si="3"/>
        <v>17</v>
      </c>
      <c r="C44" s="1">
        <f t="shared" si="0"/>
        <v>-5.4841278154083694E-3</v>
      </c>
      <c r="D44" s="1">
        <v>-5.4841278154083798E-3</v>
      </c>
      <c r="E44">
        <v>3500</v>
      </c>
      <c r="F44">
        <f t="shared" si="1"/>
        <v>20500</v>
      </c>
      <c r="G44">
        <f t="shared" si="2"/>
        <v>2.6834437249412817</v>
      </c>
      <c r="H44">
        <v>25</v>
      </c>
    </row>
    <row r="45" spans="1:8" x14ac:dyDescent="0.25">
      <c r="A45">
        <f t="shared" si="3"/>
        <v>43</v>
      </c>
      <c r="B45">
        <f t="shared" si="3"/>
        <v>18</v>
      </c>
      <c r="C45" s="1">
        <f t="shared" si="0"/>
        <v>-4.0319177594300374E-3</v>
      </c>
      <c r="D45" s="1">
        <v>-4.0319177594300504E-3</v>
      </c>
      <c r="E45">
        <v>3500</v>
      </c>
      <c r="F45">
        <f t="shared" si="1"/>
        <v>20500</v>
      </c>
      <c r="G45">
        <f t="shared" si="2"/>
        <v>2.6834437249412817</v>
      </c>
      <c r="H45">
        <v>25</v>
      </c>
    </row>
    <row r="46" spans="1:8" x14ac:dyDescent="0.25">
      <c r="A46">
        <f t="shared" si="3"/>
        <v>44</v>
      </c>
      <c r="B46">
        <f t="shared" si="3"/>
        <v>19</v>
      </c>
      <c r="C46" s="1">
        <f t="shared" si="0"/>
        <v>-2.2608584523997727E-3</v>
      </c>
      <c r="D46" s="1">
        <v>-2.2608584523997502E-3</v>
      </c>
      <c r="E46">
        <v>3500</v>
      </c>
      <c r="F46">
        <f t="shared" si="1"/>
        <v>20500</v>
      </c>
      <c r="G46">
        <f t="shared" si="2"/>
        <v>2.6834437249412817</v>
      </c>
      <c r="H46">
        <v>25</v>
      </c>
    </row>
    <row r="47" spans="1:8" x14ac:dyDescent="0.25">
      <c r="A47">
        <f t="shared" si="3"/>
        <v>45</v>
      </c>
      <c r="B47">
        <f t="shared" si="3"/>
        <v>20</v>
      </c>
      <c r="C47" s="1">
        <f t="shared" si="0"/>
        <v>-6.9142225625647331E-4</v>
      </c>
      <c r="D47" s="1">
        <v>-6.9142225625649001E-4</v>
      </c>
      <c r="E47">
        <v>3500</v>
      </c>
      <c r="F47">
        <f t="shared" si="1"/>
        <v>20500</v>
      </c>
      <c r="G47">
        <f t="shared" si="2"/>
        <v>2.6834437249412817</v>
      </c>
      <c r="H47">
        <v>25</v>
      </c>
    </row>
    <row r="48" spans="1:8" x14ac:dyDescent="0.25">
      <c r="A48">
        <f t="shared" si="3"/>
        <v>46</v>
      </c>
      <c r="B48">
        <f t="shared" si="3"/>
        <v>21</v>
      </c>
      <c r="C48" s="1">
        <f t="shared" si="0"/>
        <v>4.048243273262532E-4</v>
      </c>
      <c r="D48" s="1">
        <v>4.0482432732624599E-4</v>
      </c>
      <c r="E48">
        <v>3500</v>
      </c>
      <c r="F48">
        <f t="shared" si="1"/>
        <v>20500</v>
      </c>
      <c r="G48">
        <f t="shared" si="2"/>
        <v>2.6834437249412817</v>
      </c>
      <c r="H48">
        <v>25</v>
      </c>
    </row>
    <row r="49" spans="1:8" x14ac:dyDescent="0.25">
      <c r="A49">
        <f t="shared" si="3"/>
        <v>47</v>
      </c>
      <c r="B49">
        <f t="shared" si="3"/>
        <v>22</v>
      </c>
      <c r="C49" s="1">
        <f t="shared" si="0"/>
        <v>9.891569859824883E-4</v>
      </c>
      <c r="D49" s="1">
        <v>9.891569859824729E-4</v>
      </c>
      <c r="E49">
        <v>3500</v>
      </c>
      <c r="F49">
        <f t="shared" si="1"/>
        <v>20500</v>
      </c>
      <c r="G49">
        <f t="shared" si="2"/>
        <v>2.6834437249412817</v>
      </c>
      <c r="H49">
        <v>25</v>
      </c>
    </row>
    <row r="50" spans="1:8" x14ac:dyDescent="0.25">
      <c r="A50">
        <f t="shared" si="3"/>
        <v>48</v>
      </c>
      <c r="B50">
        <f t="shared" si="3"/>
        <v>23</v>
      </c>
      <c r="C50" s="1">
        <f t="shared" si="0"/>
        <v>1.1723657062354647E-3</v>
      </c>
      <c r="D50" s="1">
        <v>1.1723657062354699E-3</v>
      </c>
      <c r="E50">
        <v>3500</v>
      </c>
      <c r="F50">
        <f t="shared" si="1"/>
        <v>20500</v>
      </c>
      <c r="G50">
        <f t="shared" si="2"/>
        <v>2.6834437249412817</v>
      </c>
      <c r="H50">
        <v>25</v>
      </c>
    </row>
    <row r="51" spans="1:8" x14ac:dyDescent="0.25">
      <c r="A51">
        <f t="shared" si="3"/>
        <v>49</v>
      </c>
      <c r="B51">
        <f t="shared" si="3"/>
        <v>24</v>
      </c>
      <c r="C51" s="1">
        <f t="shared" si="0"/>
        <v>1.109140684048983E-3</v>
      </c>
      <c r="D51" s="1">
        <v>1.10914068404898E-3</v>
      </c>
      <c r="E51">
        <v>3500</v>
      </c>
      <c r="F51">
        <f t="shared" si="1"/>
        <v>20500</v>
      </c>
      <c r="G51">
        <f t="shared" si="2"/>
        <v>2.6834437249412817</v>
      </c>
      <c r="H51">
        <v>25</v>
      </c>
    </row>
    <row r="52" spans="1:8" x14ac:dyDescent="0.25">
      <c r="A52">
        <f t="shared" si="3"/>
        <v>50</v>
      </c>
      <c r="B52">
        <f t="shared" si="3"/>
        <v>25</v>
      </c>
      <c r="C52" s="1">
        <f t="shared" si="0"/>
        <v>9.1354707289156368E-4</v>
      </c>
      <c r="D52" s="1">
        <v>9.1354707289156498E-4</v>
      </c>
      <c r="E52">
        <v>3500</v>
      </c>
      <c r="F52">
        <f t="shared" si="1"/>
        <v>20500</v>
      </c>
      <c r="G52">
        <f t="shared" si="2"/>
        <v>2.6834437249412817</v>
      </c>
      <c r="H5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134A-B9D0-43AB-951C-994347CDBEAC}">
  <dimension ref="A1:N52"/>
  <sheetViews>
    <sheetView workbookViewId="0">
      <selection activeCell="P20" sqref="P20"/>
    </sheetView>
  </sheetViews>
  <sheetFormatPr defaultRowHeight="15" x14ac:dyDescent="0.25"/>
  <cols>
    <col min="1" max="1" width="15.140625" bestFit="1" customWidth="1"/>
    <col min="2" max="2" width="18.28515625" bestFit="1" customWidth="1"/>
    <col min="3" max="3" width="19.28515625" style="1" bestFit="1" customWidth="1"/>
    <col min="4" max="4" width="20.42578125" style="1" bestFit="1" customWidth="1"/>
    <col min="6" max="6" width="20.28515625" bestFit="1" customWidth="1"/>
    <col min="7" max="7" width="16.28515625" customWidth="1"/>
    <col min="9" max="9" width="12.28515625" bestFit="1" customWidth="1"/>
    <col min="10" max="10" width="14" bestFit="1" customWidth="1"/>
    <col min="13" max="13" width="12" bestFit="1" customWidth="1"/>
    <col min="14" max="14" width="11" bestFit="1" customWidth="1"/>
    <col min="16" max="17" width="12.28515625" bestFit="1" customWidth="1"/>
    <col min="18" max="18" width="25.7109375" bestFit="1" customWidth="1"/>
    <col min="19" max="19" width="32.85546875" bestFit="1" customWidth="1"/>
    <col min="20" max="20" width="11" bestFit="1" customWidth="1"/>
  </cols>
  <sheetData>
    <row r="1" spans="1:14" x14ac:dyDescent="0.25">
      <c r="A1" t="s">
        <v>1</v>
      </c>
      <c r="B1" t="s">
        <v>3</v>
      </c>
      <c r="C1" s="1" t="s">
        <v>2</v>
      </c>
      <c r="D1" s="1" t="s">
        <v>0</v>
      </c>
      <c r="F1" t="s">
        <v>6</v>
      </c>
      <c r="G1" t="s">
        <v>8</v>
      </c>
      <c r="H1" t="s">
        <v>4</v>
      </c>
      <c r="I1" t="s">
        <v>7</v>
      </c>
      <c r="J1" t="s">
        <v>9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5">
      <c r="A2">
        <v>0</v>
      </c>
      <c r="B2">
        <v>-25</v>
      </c>
      <c r="C2" s="1">
        <f>((((((SIN(B2*(L2/48000)*2*PI())))/(B2*PI())))) - (((SIN(B2*(K2/48000)*2*PI())))/(B2*PI()))) * (0.54 + 0.46*COS((B2*PI())/H2))</f>
        <v>-1.8725959824129449E-3</v>
      </c>
      <c r="D2" s="1">
        <v>-1.8725959824129499E-3</v>
      </c>
      <c r="F2">
        <f>L2-K2</f>
        <v>3125</v>
      </c>
      <c r="G2">
        <f xml:space="preserve"> (F2/48000)*2*PI()</f>
        <v>0.40906154343617102</v>
      </c>
      <c r="H2">
        <v>25</v>
      </c>
      <c r="I2">
        <f>(K2+L2)/2</f>
        <v>1937.5</v>
      </c>
      <c r="J2">
        <f t="shared" ref="J2:J27" si="0" xml:space="preserve"> (I2/48000)*2*PI()</f>
        <v>0.253618156930426</v>
      </c>
      <c r="K2">
        <v>375</v>
      </c>
      <c r="L2">
        <v>3500</v>
      </c>
      <c r="M2">
        <f>SIN((K2/48000)*2*PI())</f>
        <v>4.9067674327418015E-2</v>
      </c>
      <c r="N2">
        <f>SIN((L2/48000)*2*PI())</f>
        <v>0.4422886902190013</v>
      </c>
    </row>
    <row r="3" spans="1:14" x14ac:dyDescent="0.25">
      <c r="A3">
        <f>SUM(A2+1)</f>
        <v>1</v>
      </c>
      <c r="B3">
        <f>SUM(B2+1)</f>
        <v>-24</v>
      </c>
      <c r="C3" s="1">
        <f t="shared" ref="C3:C25" si="1">((((((SIN(B3*(L3/48000)*2*PI())))/(B3*PI())))) - (((SIN(B3*(K3/48000)*2*PI())))/(B3*PI()))) * (0.54 + 0.46*COS((B3*PI())/H3))</f>
        <v>-2.1338530607174062E-3</v>
      </c>
      <c r="D3" s="1">
        <v>-2.1338530607174101E-3</v>
      </c>
      <c r="F3">
        <f t="shared" ref="F3:F52" si="2">L3-K3</f>
        <v>3125</v>
      </c>
      <c r="G3">
        <f t="shared" ref="G3:G52" si="3" xml:space="preserve"> (F3/48000)*2*PI()</f>
        <v>0.40906154343617102</v>
      </c>
      <c r="H3">
        <v>25</v>
      </c>
      <c r="I3">
        <f t="shared" ref="I3:I52" si="4">(K3+L3)/2</f>
        <v>1937.5</v>
      </c>
      <c r="J3">
        <f t="shared" si="0"/>
        <v>0.253618156930426</v>
      </c>
      <c r="K3">
        <v>375</v>
      </c>
      <c r="L3">
        <v>3500</v>
      </c>
      <c r="M3">
        <f t="shared" ref="M3:M52" si="5">SIN((K3/48000)*2*PI())</f>
        <v>4.9067674327418015E-2</v>
      </c>
      <c r="N3">
        <f t="shared" ref="N3:N52" si="6">SIN((L3/48000)*2*PI())</f>
        <v>0.4422886902190013</v>
      </c>
    </row>
    <row r="4" spans="1:14" x14ac:dyDescent="0.25">
      <c r="A4">
        <f t="shared" ref="A4:B52" si="7">SUM(A3+1)</f>
        <v>2</v>
      </c>
      <c r="B4">
        <f t="shared" si="7"/>
        <v>-23</v>
      </c>
      <c r="C4" s="1">
        <f t="shared" si="1"/>
        <v>-2.3540339596945141E-3</v>
      </c>
      <c r="D4" s="1">
        <v>-2.3540339596945098E-3</v>
      </c>
      <c r="F4">
        <f t="shared" si="2"/>
        <v>3125</v>
      </c>
      <c r="G4">
        <f t="shared" si="3"/>
        <v>0.40906154343617102</v>
      </c>
      <c r="H4">
        <v>25</v>
      </c>
      <c r="I4">
        <f t="shared" si="4"/>
        <v>1937.5</v>
      </c>
      <c r="J4">
        <f t="shared" si="0"/>
        <v>0.253618156930426</v>
      </c>
      <c r="K4">
        <v>375</v>
      </c>
      <c r="L4">
        <v>3500</v>
      </c>
      <c r="M4">
        <f t="shared" si="5"/>
        <v>4.9067674327418015E-2</v>
      </c>
      <c r="N4">
        <f t="shared" si="6"/>
        <v>0.4422886902190013</v>
      </c>
    </row>
    <row r="5" spans="1:14" x14ac:dyDescent="0.25">
      <c r="A5">
        <f t="shared" si="7"/>
        <v>3</v>
      </c>
      <c r="B5">
        <f t="shared" si="7"/>
        <v>-22</v>
      </c>
      <c r="C5" s="1">
        <f t="shared" si="1"/>
        <v>-2.4221626564258263E-3</v>
      </c>
      <c r="D5" s="1">
        <v>-2.4221626564258198E-3</v>
      </c>
      <c r="F5">
        <f t="shared" si="2"/>
        <v>3125</v>
      </c>
      <c r="G5">
        <f xml:space="preserve"> (F5/48000)*2*PI()</f>
        <v>0.40906154343617102</v>
      </c>
      <c r="H5">
        <v>25</v>
      </c>
      <c r="I5">
        <f t="shared" si="4"/>
        <v>1937.5</v>
      </c>
      <c r="J5">
        <f t="shared" si="0"/>
        <v>0.253618156930426</v>
      </c>
      <c r="K5">
        <v>375</v>
      </c>
      <c r="L5">
        <v>3500</v>
      </c>
      <c r="M5">
        <f t="shared" si="5"/>
        <v>4.9067674327418015E-2</v>
      </c>
      <c r="N5">
        <f t="shared" si="6"/>
        <v>0.4422886902190013</v>
      </c>
    </row>
    <row r="6" spans="1:14" x14ac:dyDescent="0.25">
      <c r="A6">
        <f t="shared" si="7"/>
        <v>4</v>
      </c>
      <c r="B6">
        <f t="shared" si="7"/>
        <v>-21</v>
      </c>
      <c r="C6" s="1">
        <f t="shared" si="1"/>
        <v>-2.1846635524782471E-3</v>
      </c>
      <c r="D6" s="1">
        <v>-2.1846635524782501E-3</v>
      </c>
      <c r="F6">
        <f t="shared" si="2"/>
        <v>3125</v>
      </c>
      <c r="G6">
        <f t="shared" si="3"/>
        <v>0.40906154343617102</v>
      </c>
      <c r="H6">
        <v>25</v>
      </c>
      <c r="I6">
        <f t="shared" si="4"/>
        <v>1937.5</v>
      </c>
      <c r="J6">
        <f t="shared" si="0"/>
        <v>0.253618156930426</v>
      </c>
      <c r="K6">
        <v>375</v>
      </c>
      <c r="L6">
        <v>3500</v>
      </c>
      <c r="M6">
        <f t="shared" si="5"/>
        <v>4.9067674327418015E-2</v>
      </c>
      <c r="N6">
        <f t="shared" si="6"/>
        <v>0.4422886902190013</v>
      </c>
    </row>
    <row r="7" spans="1:14" x14ac:dyDescent="0.25">
      <c r="A7">
        <f t="shared" si="7"/>
        <v>5</v>
      </c>
      <c r="B7">
        <f t="shared" si="7"/>
        <v>-20</v>
      </c>
      <c r="C7" s="1">
        <f t="shared" si="1"/>
        <v>-1.5298076193085372E-3</v>
      </c>
      <c r="D7" s="1">
        <v>-1.52980761930854E-3</v>
      </c>
      <c r="F7">
        <f t="shared" si="2"/>
        <v>3125</v>
      </c>
      <c r="G7">
        <f t="shared" si="3"/>
        <v>0.40906154343617102</v>
      </c>
      <c r="H7">
        <v>25</v>
      </c>
      <c r="I7">
        <f t="shared" si="4"/>
        <v>1937.5</v>
      </c>
      <c r="J7">
        <f t="shared" si="0"/>
        <v>0.253618156930426</v>
      </c>
      <c r="K7">
        <v>375</v>
      </c>
      <c r="L7">
        <v>3500</v>
      </c>
      <c r="M7">
        <f t="shared" si="5"/>
        <v>4.9067674327418015E-2</v>
      </c>
      <c r="N7">
        <f t="shared" si="6"/>
        <v>0.4422886902190013</v>
      </c>
    </row>
    <row r="8" spans="1:14" x14ac:dyDescent="0.25">
      <c r="A8">
        <f t="shared" si="7"/>
        <v>6</v>
      </c>
      <c r="B8">
        <f t="shared" si="7"/>
        <v>-19</v>
      </c>
      <c r="C8" s="1">
        <f t="shared" si="1"/>
        <v>-4.9329345846595271E-4</v>
      </c>
      <c r="D8" s="1">
        <v>-4.9329345846595304E-4</v>
      </c>
      <c r="F8">
        <f t="shared" si="2"/>
        <v>3125</v>
      </c>
      <c r="G8">
        <f t="shared" si="3"/>
        <v>0.40906154343617102</v>
      </c>
      <c r="H8">
        <v>25</v>
      </c>
      <c r="I8">
        <f t="shared" si="4"/>
        <v>1937.5</v>
      </c>
      <c r="J8">
        <f t="shared" si="0"/>
        <v>0.253618156930426</v>
      </c>
      <c r="K8">
        <v>375</v>
      </c>
      <c r="L8">
        <v>3500</v>
      </c>
      <c r="M8">
        <f t="shared" si="5"/>
        <v>4.9067674327418015E-2</v>
      </c>
      <c r="N8">
        <f t="shared" si="6"/>
        <v>0.4422886902190013</v>
      </c>
    </row>
    <row r="9" spans="1:14" x14ac:dyDescent="0.25">
      <c r="A9">
        <f t="shared" si="7"/>
        <v>7</v>
      </c>
      <c r="B9">
        <f t="shared" si="7"/>
        <v>-18</v>
      </c>
      <c r="C9" s="1">
        <f t="shared" si="1"/>
        <v>6.5841021276273691E-4</v>
      </c>
      <c r="D9" s="1">
        <v>6.5841021276273701E-4</v>
      </c>
      <c r="F9">
        <f t="shared" si="2"/>
        <v>3125</v>
      </c>
      <c r="G9">
        <f t="shared" si="3"/>
        <v>0.40906154343617102</v>
      </c>
      <c r="H9">
        <v>25</v>
      </c>
      <c r="I9">
        <f t="shared" si="4"/>
        <v>1937.5</v>
      </c>
      <c r="J9">
        <f t="shared" si="0"/>
        <v>0.253618156930426</v>
      </c>
      <c r="K9">
        <v>375</v>
      </c>
      <c r="L9">
        <v>3500</v>
      </c>
      <c r="M9">
        <f t="shared" si="5"/>
        <v>4.9067674327418015E-2</v>
      </c>
      <c r="N9">
        <f t="shared" si="6"/>
        <v>0.4422886902190013</v>
      </c>
    </row>
    <row r="10" spans="1:14" x14ac:dyDescent="0.25">
      <c r="A10">
        <f t="shared" si="7"/>
        <v>8</v>
      </c>
      <c r="B10">
        <f t="shared" si="7"/>
        <v>-17</v>
      </c>
      <c r="C10" s="1">
        <f t="shared" si="1"/>
        <v>1.4119382685843977E-3</v>
      </c>
      <c r="D10" s="1">
        <v>1.4119382685843999E-3</v>
      </c>
      <c r="F10">
        <f t="shared" si="2"/>
        <v>3125</v>
      </c>
      <c r="G10">
        <f t="shared" si="3"/>
        <v>0.40906154343617102</v>
      </c>
      <c r="H10">
        <v>25</v>
      </c>
      <c r="I10">
        <f t="shared" si="4"/>
        <v>1937.5</v>
      </c>
      <c r="J10">
        <f t="shared" si="0"/>
        <v>0.253618156930426</v>
      </c>
      <c r="K10">
        <v>375</v>
      </c>
      <c r="L10">
        <v>3500</v>
      </c>
      <c r="M10">
        <f t="shared" si="5"/>
        <v>4.9067674327418015E-2</v>
      </c>
      <c r="N10">
        <f t="shared" si="6"/>
        <v>0.4422886902190013</v>
      </c>
    </row>
    <row r="11" spans="1:14" x14ac:dyDescent="0.25">
      <c r="A11">
        <f t="shared" si="7"/>
        <v>9</v>
      </c>
      <c r="B11">
        <f t="shared" si="7"/>
        <v>-16</v>
      </c>
      <c r="C11" s="1">
        <f t="shared" si="1"/>
        <v>1.088032872616055E-3</v>
      </c>
      <c r="D11" s="1">
        <v>1.08803287261606E-3</v>
      </c>
      <c r="F11">
        <f t="shared" si="2"/>
        <v>3125</v>
      </c>
      <c r="G11">
        <f t="shared" si="3"/>
        <v>0.40906154343617102</v>
      </c>
      <c r="H11">
        <v>25</v>
      </c>
      <c r="I11">
        <f t="shared" si="4"/>
        <v>1937.5</v>
      </c>
      <c r="J11">
        <f t="shared" si="0"/>
        <v>0.253618156930426</v>
      </c>
      <c r="K11">
        <v>375</v>
      </c>
      <c r="L11">
        <v>3500</v>
      </c>
      <c r="M11">
        <f t="shared" si="5"/>
        <v>4.9067674327418015E-2</v>
      </c>
      <c r="N11">
        <f t="shared" si="6"/>
        <v>0.4422886902190013</v>
      </c>
    </row>
    <row r="12" spans="1:14" x14ac:dyDescent="0.25">
      <c r="A12">
        <f t="shared" si="7"/>
        <v>10</v>
      </c>
      <c r="B12">
        <f t="shared" si="7"/>
        <v>-15</v>
      </c>
      <c r="C12" s="1">
        <f t="shared" si="1"/>
        <v>-9.7925630347280392E-4</v>
      </c>
      <c r="D12" s="1">
        <v>-9.7925630347280306E-4</v>
      </c>
      <c r="F12">
        <f t="shared" si="2"/>
        <v>3125</v>
      </c>
      <c r="G12">
        <f t="shared" si="3"/>
        <v>0.40906154343617102</v>
      </c>
      <c r="H12">
        <v>25</v>
      </c>
      <c r="I12">
        <f t="shared" si="4"/>
        <v>1937.5</v>
      </c>
      <c r="J12">
        <f t="shared" si="0"/>
        <v>0.253618156930426</v>
      </c>
      <c r="K12">
        <v>375</v>
      </c>
      <c r="L12">
        <v>3500</v>
      </c>
      <c r="M12">
        <f t="shared" si="5"/>
        <v>4.9067674327418015E-2</v>
      </c>
      <c r="N12">
        <f t="shared" si="6"/>
        <v>0.4422886902190013</v>
      </c>
    </row>
    <row r="13" spans="1:14" x14ac:dyDescent="0.25">
      <c r="A13">
        <f t="shared" si="7"/>
        <v>11</v>
      </c>
      <c r="B13">
        <f t="shared" si="7"/>
        <v>-14</v>
      </c>
      <c r="C13" s="1">
        <f t="shared" si="1"/>
        <v>-5.1988462757762196E-3</v>
      </c>
      <c r="D13" s="1">
        <v>-5.1988462757762196E-3</v>
      </c>
      <c r="F13">
        <f t="shared" si="2"/>
        <v>3125</v>
      </c>
      <c r="G13">
        <f t="shared" si="3"/>
        <v>0.40906154343617102</v>
      </c>
      <c r="H13">
        <v>25</v>
      </c>
      <c r="I13">
        <f t="shared" si="4"/>
        <v>1937.5</v>
      </c>
      <c r="J13">
        <f t="shared" si="0"/>
        <v>0.253618156930426</v>
      </c>
      <c r="K13">
        <v>375</v>
      </c>
      <c r="L13">
        <v>3500</v>
      </c>
      <c r="M13">
        <f t="shared" si="5"/>
        <v>4.9067674327418015E-2</v>
      </c>
      <c r="N13">
        <f t="shared" si="6"/>
        <v>0.4422886902190013</v>
      </c>
    </row>
    <row r="14" spans="1:14" x14ac:dyDescent="0.25">
      <c r="A14">
        <f t="shared" si="7"/>
        <v>12</v>
      </c>
      <c r="B14">
        <f t="shared" si="7"/>
        <v>-13</v>
      </c>
      <c r="C14" s="1">
        <f t="shared" si="1"/>
        <v>-1.1477878169396917E-2</v>
      </c>
      <c r="D14" s="1">
        <v>-1.14778781693969E-2</v>
      </c>
      <c r="F14">
        <f t="shared" si="2"/>
        <v>3125</v>
      </c>
      <c r="G14">
        <f t="shared" si="3"/>
        <v>0.40906154343617102</v>
      </c>
      <c r="H14">
        <v>25</v>
      </c>
      <c r="I14">
        <f t="shared" si="4"/>
        <v>1937.5</v>
      </c>
      <c r="J14">
        <f t="shared" si="0"/>
        <v>0.253618156930426</v>
      </c>
      <c r="K14">
        <v>375</v>
      </c>
      <c r="L14">
        <v>3500</v>
      </c>
      <c r="M14">
        <f t="shared" si="5"/>
        <v>4.9067674327418015E-2</v>
      </c>
      <c r="N14">
        <f t="shared" si="6"/>
        <v>0.4422886902190013</v>
      </c>
    </row>
    <row r="15" spans="1:14" x14ac:dyDescent="0.25">
      <c r="A15">
        <f t="shared" si="7"/>
        <v>13</v>
      </c>
      <c r="B15">
        <f t="shared" si="7"/>
        <v>-12</v>
      </c>
      <c r="C15" s="1">
        <f t="shared" si="1"/>
        <v>-1.9053931500890138E-2</v>
      </c>
      <c r="D15" s="1">
        <v>-1.90539315008901E-2</v>
      </c>
      <c r="F15">
        <f t="shared" si="2"/>
        <v>3125</v>
      </c>
      <c r="G15">
        <f t="shared" si="3"/>
        <v>0.40906154343617102</v>
      </c>
      <c r="H15">
        <v>25</v>
      </c>
      <c r="I15">
        <f t="shared" si="4"/>
        <v>1937.5</v>
      </c>
      <c r="J15">
        <f t="shared" si="0"/>
        <v>0.253618156930426</v>
      </c>
      <c r="K15">
        <v>375</v>
      </c>
      <c r="L15">
        <v>3500</v>
      </c>
      <c r="M15">
        <f t="shared" si="5"/>
        <v>4.9067674327418015E-2</v>
      </c>
      <c r="N15">
        <f t="shared" si="6"/>
        <v>0.4422886902190013</v>
      </c>
    </row>
    <row r="16" spans="1:14" x14ac:dyDescent="0.25">
      <c r="A16">
        <f t="shared" si="7"/>
        <v>14</v>
      </c>
      <c r="B16">
        <f t="shared" si="7"/>
        <v>-11</v>
      </c>
      <c r="C16" s="1">
        <f t="shared" si="1"/>
        <v>-2.6474471926542568E-2</v>
      </c>
      <c r="D16" s="1">
        <v>-2.6474471926542599E-2</v>
      </c>
      <c r="F16">
        <f t="shared" si="2"/>
        <v>3125</v>
      </c>
      <c r="G16">
        <f t="shared" si="3"/>
        <v>0.40906154343617102</v>
      </c>
      <c r="H16">
        <v>25</v>
      </c>
      <c r="I16">
        <f t="shared" si="4"/>
        <v>1937.5</v>
      </c>
      <c r="J16">
        <f t="shared" si="0"/>
        <v>0.253618156930426</v>
      </c>
      <c r="K16">
        <v>375</v>
      </c>
      <c r="L16">
        <v>3500</v>
      </c>
      <c r="M16">
        <f t="shared" si="5"/>
        <v>4.9067674327418015E-2</v>
      </c>
      <c r="N16">
        <f t="shared" si="6"/>
        <v>0.4422886902190013</v>
      </c>
    </row>
    <row r="17" spans="1:14" x14ac:dyDescent="0.25">
      <c r="A17">
        <f t="shared" si="7"/>
        <v>15</v>
      </c>
      <c r="B17">
        <f t="shared" si="7"/>
        <v>-10</v>
      </c>
      <c r="C17" s="1">
        <f t="shared" si="1"/>
        <v>-3.1763322412023703E-2</v>
      </c>
      <c r="D17" s="1">
        <v>-3.1763322412023703E-2</v>
      </c>
      <c r="F17">
        <f t="shared" si="2"/>
        <v>3125</v>
      </c>
      <c r="G17">
        <f t="shared" si="3"/>
        <v>0.40906154343617102</v>
      </c>
      <c r="H17">
        <v>25</v>
      </c>
      <c r="I17">
        <f t="shared" si="4"/>
        <v>1937.5</v>
      </c>
      <c r="J17">
        <f t="shared" si="0"/>
        <v>0.253618156930426</v>
      </c>
      <c r="K17">
        <v>375</v>
      </c>
      <c r="L17">
        <v>3500</v>
      </c>
      <c r="M17">
        <f t="shared" si="5"/>
        <v>4.9067674327418015E-2</v>
      </c>
      <c r="N17">
        <f t="shared" si="6"/>
        <v>0.4422886902190013</v>
      </c>
    </row>
    <row r="18" spans="1:14" x14ac:dyDescent="0.25">
      <c r="A18">
        <f t="shared" si="7"/>
        <v>16</v>
      </c>
      <c r="B18">
        <f t="shared" si="7"/>
        <v>-9</v>
      </c>
      <c r="C18" s="1">
        <f t="shared" si="1"/>
        <v>-3.2766961113788254E-2</v>
      </c>
      <c r="D18" s="1">
        <v>-3.2766961113788302E-2</v>
      </c>
      <c r="F18">
        <f t="shared" si="2"/>
        <v>3125</v>
      </c>
      <c r="G18">
        <f t="shared" si="3"/>
        <v>0.40906154343617102</v>
      </c>
      <c r="H18">
        <v>25</v>
      </c>
      <c r="I18">
        <f t="shared" si="4"/>
        <v>1937.5</v>
      </c>
      <c r="J18">
        <f t="shared" si="0"/>
        <v>0.253618156930426</v>
      </c>
      <c r="K18">
        <v>375</v>
      </c>
      <c r="L18">
        <v>3500</v>
      </c>
      <c r="M18">
        <f t="shared" si="5"/>
        <v>4.9067674327418015E-2</v>
      </c>
      <c r="N18">
        <f t="shared" si="6"/>
        <v>0.4422886902190013</v>
      </c>
    </row>
    <row r="19" spans="1:14" x14ac:dyDescent="0.25">
      <c r="A19">
        <f t="shared" si="7"/>
        <v>17</v>
      </c>
      <c r="B19">
        <f t="shared" si="7"/>
        <v>-8</v>
      </c>
      <c r="C19" s="1">
        <f t="shared" si="1"/>
        <v>-2.7621863729480788E-2</v>
      </c>
      <c r="D19" s="1">
        <v>-2.7621863729480799E-2</v>
      </c>
      <c r="F19">
        <f t="shared" si="2"/>
        <v>3125</v>
      </c>
      <c r="G19">
        <f t="shared" si="3"/>
        <v>0.40906154343617102</v>
      </c>
      <c r="H19">
        <v>25</v>
      </c>
      <c r="I19">
        <f t="shared" si="4"/>
        <v>1937.5</v>
      </c>
      <c r="J19">
        <f t="shared" si="0"/>
        <v>0.253618156930426</v>
      </c>
      <c r="K19">
        <v>375</v>
      </c>
      <c r="L19">
        <v>3500</v>
      </c>
      <c r="M19">
        <f t="shared" si="5"/>
        <v>4.9067674327418015E-2</v>
      </c>
      <c r="N19">
        <f t="shared" si="6"/>
        <v>0.4422886902190013</v>
      </c>
    </row>
    <row r="20" spans="1:14" x14ac:dyDescent="0.25">
      <c r="A20">
        <f t="shared" si="7"/>
        <v>18</v>
      </c>
      <c r="B20">
        <f t="shared" si="7"/>
        <v>-7</v>
      </c>
      <c r="C20" s="1">
        <f t="shared" si="1"/>
        <v>-1.5242339915317428E-2</v>
      </c>
      <c r="D20" s="1">
        <v>-1.5242339915317401E-2</v>
      </c>
      <c r="F20">
        <f t="shared" si="2"/>
        <v>3125</v>
      </c>
      <c r="G20">
        <f t="shared" si="3"/>
        <v>0.40906154343617102</v>
      </c>
      <c r="H20">
        <v>25</v>
      </c>
      <c r="I20">
        <f t="shared" si="4"/>
        <v>1937.5</v>
      </c>
      <c r="J20">
        <f t="shared" si="0"/>
        <v>0.253618156930426</v>
      </c>
      <c r="K20">
        <v>375</v>
      </c>
      <c r="L20">
        <v>3500</v>
      </c>
      <c r="M20">
        <f t="shared" si="5"/>
        <v>4.9067674327418015E-2</v>
      </c>
      <c r="N20">
        <f t="shared" si="6"/>
        <v>0.4422886902190013</v>
      </c>
    </row>
    <row r="21" spans="1:14" x14ac:dyDescent="0.25">
      <c r="A21">
        <f t="shared" si="7"/>
        <v>19</v>
      </c>
      <c r="B21">
        <f t="shared" si="7"/>
        <v>-6</v>
      </c>
      <c r="C21" s="1">
        <f t="shared" si="1"/>
        <v>4.2907638351312128E-3</v>
      </c>
      <c r="D21" s="1">
        <v>4.2907638351312198E-3</v>
      </c>
      <c r="F21">
        <f t="shared" si="2"/>
        <v>3125</v>
      </c>
      <c r="G21">
        <f t="shared" si="3"/>
        <v>0.40906154343617102</v>
      </c>
      <c r="H21">
        <v>25</v>
      </c>
      <c r="I21">
        <f t="shared" si="4"/>
        <v>1937.5</v>
      </c>
      <c r="J21">
        <f t="shared" si="0"/>
        <v>0.253618156930426</v>
      </c>
      <c r="K21">
        <v>375</v>
      </c>
      <c r="L21">
        <v>3500</v>
      </c>
      <c r="M21">
        <f t="shared" si="5"/>
        <v>4.9067674327418015E-2</v>
      </c>
      <c r="N21">
        <f t="shared" si="6"/>
        <v>0.4422886902190013</v>
      </c>
    </row>
    <row r="22" spans="1:14" x14ac:dyDescent="0.25">
      <c r="A22">
        <f t="shared" si="7"/>
        <v>20</v>
      </c>
      <c r="B22">
        <f t="shared" si="7"/>
        <v>-5</v>
      </c>
      <c r="C22" s="1">
        <f t="shared" si="1"/>
        <v>2.9549037691575814E-2</v>
      </c>
      <c r="D22" s="1">
        <v>2.95490376915758E-2</v>
      </c>
      <c r="F22">
        <f t="shared" si="2"/>
        <v>3125</v>
      </c>
      <c r="G22">
        <f t="shared" si="3"/>
        <v>0.40906154343617102</v>
      </c>
      <c r="H22">
        <v>25</v>
      </c>
      <c r="I22">
        <f t="shared" si="4"/>
        <v>1937.5</v>
      </c>
      <c r="J22">
        <f t="shared" si="0"/>
        <v>0.253618156930426</v>
      </c>
      <c r="K22">
        <v>375</v>
      </c>
      <c r="L22">
        <v>3500</v>
      </c>
      <c r="M22">
        <f t="shared" si="5"/>
        <v>4.9067674327418015E-2</v>
      </c>
      <c r="N22">
        <f t="shared" si="6"/>
        <v>0.4422886902190013</v>
      </c>
    </row>
    <row r="23" spans="1:14" x14ac:dyDescent="0.25">
      <c r="A23">
        <f t="shared" si="7"/>
        <v>21</v>
      </c>
      <c r="B23">
        <f t="shared" si="7"/>
        <v>-4</v>
      </c>
      <c r="C23" s="1">
        <f t="shared" si="1"/>
        <v>5.7850895326690514E-2</v>
      </c>
      <c r="D23" s="1">
        <v>5.78508953266905E-2</v>
      </c>
      <c r="F23">
        <f t="shared" si="2"/>
        <v>3125</v>
      </c>
      <c r="G23">
        <f t="shared" si="3"/>
        <v>0.40906154343617102</v>
      </c>
      <c r="H23">
        <v>25</v>
      </c>
      <c r="I23">
        <f t="shared" si="4"/>
        <v>1937.5</v>
      </c>
      <c r="J23">
        <f t="shared" si="0"/>
        <v>0.253618156930426</v>
      </c>
      <c r="K23">
        <v>375</v>
      </c>
      <c r="L23">
        <v>3500</v>
      </c>
      <c r="M23">
        <f t="shared" si="5"/>
        <v>4.9067674327418015E-2</v>
      </c>
      <c r="N23">
        <f t="shared" si="6"/>
        <v>0.4422886902190013</v>
      </c>
    </row>
    <row r="24" spans="1:14" x14ac:dyDescent="0.25">
      <c r="A24">
        <f t="shared" si="7"/>
        <v>22</v>
      </c>
      <c r="B24">
        <f t="shared" si="7"/>
        <v>-3</v>
      </c>
      <c r="C24" s="1">
        <f t="shared" si="1"/>
        <v>8.5637294583189666E-2</v>
      </c>
      <c r="D24" s="1">
        <v>8.5637294583189694E-2</v>
      </c>
      <c r="F24">
        <f t="shared" si="2"/>
        <v>3125</v>
      </c>
      <c r="G24">
        <f t="shared" si="3"/>
        <v>0.40906154343617102</v>
      </c>
      <c r="H24">
        <v>25</v>
      </c>
      <c r="I24">
        <f t="shared" si="4"/>
        <v>1937.5</v>
      </c>
      <c r="J24">
        <f t="shared" si="0"/>
        <v>0.253618156930426</v>
      </c>
      <c r="K24">
        <v>375</v>
      </c>
      <c r="L24">
        <v>3500</v>
      </c>
      <c r="M24">
        <f t="shared" si="5"/>
        <v>4.9067674327418015E-2</v>
      </c>
      <c r="N24">
        <f t="shared" si="6"/>
        <v>0.4422886902190013</v>
      </c>
    </row>
    <row r="25" spans="1:14" x14ac:dyDescent="0.25">
      <c r="A25">
        <f t="shared" si="7"/>
        <v>23</v>
      </c>
      <c r="B25">
        <f t="shared" si="7"/>
        <v>-2</v>
      </c>
      <c r="C25" s="1">
        <f t="shared" si="1"/>
        <v>0.10906687363096416</v>
      </c>
      <c r="D25" s="1">
        <v>0.109066873630964</v>
      </c>
      <c r="F25">
        <f t="shared" si="2"/>
        <v>3125</v>
      </c>
      <c r="G25">
        <f t="shared" si="3"/>
        <v>0.40906154343617102</v>
      </c>
      <c r="H25">
        <v>25</v>
      </c>
      <c r="I25">
        <f t="shared" si="4"/>
        <v>1937.5</v>
      </c>
      <c r="J25">
        <f t="shared" si="0"/>
        <v>0.253618156930426</v>
      </c>
      <c r="K25">
        <v>375</v>
      </c>
      <c r="L25">
        <v>3500</v>
      </c>
      <c r="M25">
        <f t="shared" si="5"/>
        <v>4.9067674327418015E-2</v>
      </c>
      <c r="N25">
        <f>SIN((L25/48000)*2*PI())</f>
        <v>0.4422886902190013</v>
      </c>
    </row>
    <row r="26" spans="1:14" x14ac:dyDescent="0.25">
      <c r="A26">
        <f t="shared" si="7"/>
        <v>24</v>
      </c>
      <c r="B26">
        <f t="shared" si="7"/>
        <v>-1</v>
      </c>
      <c r="C26" s="1">
        <f>((((((SIN(B26*(L26/48000)*2*PI())))/(B26*PI())))) - (((SIN(B26*(K26/48000)*2*PI())))/(B26*PI()))) * (0.54 + 0.46*COS((B26*PI())/H26))</f>
        <v>0.12471212952144416</v>
      </c>
      <c r="D26" s="1">
        <v>0.124712129521444</v>
      </c>
      <c r="F26">
        <f t="shared" si="2"/>
        <v>3125</v>
      </c>
      <c r="G26">
        <f t="shared" si="3"/>
        <v>0.40906154343617102</v>
      </c>
      <c r="H26">
        <v>25</v>
      </c>
      <c r="I26">
        <f t="shared" si="4"/>
        <v>1937.5</v>
      </c>
      <c r="J26">
        <f t="shared" si="0"/>
        <v>0.253618156930426</v>
      </c>
      <c r="K26">
        <v>375</v>
      </c>
      <c r="L26">
        <v>3500</v>
      </c>
      <c r="M26">
        <f t="shared" si="5"/>
        <v>4.9067674327418015E-2</v>
      </c>
      <c r="N26">
        <f t="shared" si="6"/>
        <v>0.4422886902190013</v>
      </c>
    </row>
    <row r="27" spans="1:14" x14ac:dyDescent="0.25">
      <c r="A27">
        <f t="shared" si="7"/>
        <v>25</v>
      </c>
      <c r="B27">
        <f t="shared" si="7"/>
        <v>0</v>
      </c>
      <c r="C27" s="1">
        <f>G27/PI()</f>
        <v>0.13020833333333334</v>
      </c>
      <c r="D27" s="1">
        <v>0.13020833333333301</v>
      </c>
      <c r="F27">
        <f t="shared" si="2"/>
        <v>3125</v>
      </c>
      <c r="G27">
        <f t="shared" si="3"/>
        <v>0.40906154343617102</v>
      </c>
      <c r="H27">
        <v>25</v>
      </c>
      <c r="I27">
        <f t="shared" si="4"/>
        <v>1937.5</v>
      </c>
      <c r="J27">
        <f t="shared" si="0"/>
        <v>0.253618156930426</v>
      </c>
      <c r="K27">
        <v>375</v>
      </c>
      <c r="L27">
        <v>3500</v>
      </c>
      <c r="M27">
        <f t="shared" si="5"/>
        <v>4.9067674327418015E-2</v>
      </c>
      <c r="N27">
        <f t="shared" si="6"/>
        <v>0.4422886902190013</v>
      </c>
    </row>
    <row r="28" spans="1:14" x14ac:dyDescent="0.25">
      <c r="A28">
        <f t="shared" si="7"/>
        <v>26</v>
      </c>
      <c r="B28">
        <f t="shared" si="7"/>
        <v>1</v>
      </c>
      <c r="C28" s="1">
        <f>((((((SIN(B28*(L28/48000)*2*PI())))/(B28*PI())))) - (((SIN(B28*(K28/48000)*2*PI())))/(B28*PI()))) * (0.54 + 0.46*COS((B28*PI())/H28))</f>
        <v>0.12471212952144416</v>
      </c>
      <c r="D28" s="1">
        <v>0.124712129521444</v>
      </c>
      <c r="F28">
        <f t="shared" si="2"/>
        <v>3125</v>
      </c>
      <c r="G28">
        <f xml:space="preserve"> (F28/48000)*2*PI()</f>
        <v>0.40906154343617102</v>
      </c>
      <c r="H28">
        <v>25</v>
      </c>
      <c r="I28">
        <f t="shared" si="4"/>
        <v>1937.5</v>
      </c>
      <c r="J28">
        <f xml:space="preserve"> (I28/48000)*2*PI()</f>
        <v>0.253618156930426</v>
      </c>
      <c r="K28">
        <v>375</v>
      </c>
      <c r="L28">
        <v>3500</v>
      </c>
      <c r="M28">
        <f t="shared" si="5"/>
        <v>4.9067674327418015E-2</v>
      </c>
      <c r="N28">
        <f t="shared" si="6"/>
        <v>0.4422886902190013</v>
      </c>
    </row>
    <row r="29" spans="1:14" x14ac:dyDescent="0.25">
      <c r="A29">
        <f t="shared" si="7"/>
        <v>27</v>
      </c>
      <c r="B29">
        <f t="shared" si="7"/>
        <v>2</v>
      </c>
      <c r="C29" s="1">
        <f t="shared" ref="C29:C52" si="8">((((((SIN(B29*(L29/48000)*2*PI())))/(B29*PI())))) - (((SIN(B29*(K29/48000)*2*PI())))/(B29*PI()))) * (0.54 + 0.46*COS((B29*PI())/H29))</f>
        <v>0.10906687363096416</v>
      </c>
      <c r="D29" s="1">
        <v>0.109066873630964</v>
      </c>
      <c r="F29">
        <f t="shared" si="2"/>
        <v>3125</v>
      </c>
      <c r="G29">
        <f t="shared" si="3"/>
        <v>0.40906154343617102</v>
      </c>
      <c r="H29">
        <v>25</v>
      </c>
      <c r="I29">
        <f t="shared" si="4"/>
        <v>1937.5</v>
      </c>
      <c r="J29">
        <f t="shared" ref="J29:J52" si="9" xml:space="preserve"> (I29/48000)*2*PI()</f>
        <v>0.253618156930426</v>
      </c>
      <c r="K29">
        <v>375</v>
      </c>
      <c r="L29">
        <v>3500</v>
      </c>
      <c r="M29">
        <f t="shared" si="5"/>
        <v>4.9067674327418015E-2</v>
      </c>
      <c r="N29">
        <f t="shared" si="6"/>
        <v>0.4422886902190013</v>
      </c>
    </row>
    <row r="30" spans="1:14" x14ac:dyDescent="0.25">
      <c r="A30">
        <f t="shared" si="7"/>
        <v>28</v>
      </c>
      <c r="B30">
        <f t="shared" si="7"/>
        <v>3</v>
      </c>
      <c r="C30" s="1">
        <f t="shared" si="8"/>
        <v>8.5637294583189666E-2</v>
      </c>
      <c r="D30" s="1">
        <v>8.5637294583189694E-2</v>
      </c>
      <c r="F30">
        <f t="shared" si="2"/>
        <v>3125</v>
      </c>
      <c r="G30">
        <f t="shared" si="3"/>
        <v>0.40906154343617102</v>
      </c>
      <c r="H30">
        <v>25</v>
      </c>
      <c r="I30">
        <f t="shared" si="4"/>
        <v>1937.5</v>
      </c>
      <c r="J30">
        <f t="shared" si="9"/>
        <v>0.253618156930426</v>
      </c>
      <c r="K30">
        <v>375</v>
      </c>
      <c r="L30">
        <v>3500</v>
      </c>
      <c r="M30">
        <f t="shared" si="5"/>
        <v>4.9067674327418015E-2</v>
      </c>
      <c r="N30">
        <f t="shared" si="6"/>
        <v>0.4422886902190013</v>
      </c>
    </row>
    <row r="31" spans="1:14" x14ac:dyDescent="0.25">
      <c r="A31">
        <f t="shared" si="7"/>
        <v>29</v>
      </c>
      <c r="B31">
        <f t="shared" si="7"/>
        <v>4</v>
      </c>
      <c r="C31" s="1">
        <f t="shared" si="8"/>
        <v>5.7850895326690514E-2</v>
      </c>
      <c r="D31" s="1">
        <v>5.78508953266905E-2</v>
      </c>
      <c r="F31">
        <f t="shared" si="2"/>
        <v>3125</v>
      </c>
      <c r="G31">
        <f t="shared" si="3"/>
        <v>0.40906154343617102</v>
      </c>
      <c r="H31">
        <v>25</v>
      </c>
      <c r="I31">
        <f t="shared" si="4"/>
        <v>1937.5</v>
      </c>
      <c r="J31">
        <f t="shared" si="9"/>
        <v>0.253618156930426</v>
      </c>
      <c r="K31">
        <v>375</v>
      </c>
      <c r="L31">
        <v>3500</v>
      </c>
      <c r="M31">
        <f t="shared" si="5"/>
        <v>4.9067674327418015E-2</v>
      </c>
      <c r="N31">
        <f t="shared" si="6"/>
        <v>0.4422886902190013</v>
      </c>
    </row>
    <row r="32" spans="1:14" x14ac:dyDescent="0.25">
      <c r="A32">
        <f t="shared" si="7"/>
        <v>30</v>
      </c>
      <c r="B32">
        <f t="shared" si="7"/>
        <v>5</v>
      </c>
      <c r="C32" s="1">
        <f t="shared" si="8"/>
        <v>2.9549037691575814E-2</v>
      </c>
      <c r="D32" s="1">
        <v>2.95490376915758E-2</v>
      </c>
      <c r="F32">
        <f t="shared" si="2"/>
        <v>3125</v>
      </c>
      <c r="G32">
        <f t="shared" si="3"/>
        <v>0.40906154343617102</v>
      </c>
      <c r="H32">
        <v>25</v>
      </c>
      <c r="I32">
        <f t="shared" si="4"/>
        <v>1937.5</v>
      </c>
      <c r="J32">
        <f t="shared" si="9"/>
        <v>0.253618156930426</v>
      </c>
      <c r="K32">
        <v>375</v>
      </c>
      <c r="L32">
        <v>3500</v>
      </c>
      <c r="M32">
        <f t="shared" si="5"/>
        <v>4.9067674327418015E-2</v>
      </c>
      <c r="N32">
        <f t="shared" si="6"/>
        <v>0.4422886902190013</v>
      </c>
    </row>
    <row r="33" spans="1:14" x14ac:dyDescent="0.25">
      <c r="A33">
        <f t="shared" si="7"/>
        <v>31</v>
      </c>
      <c r="B33">
        <f t="shared" si="7"/>
        <v>6</v>
      </c>
      <c r="C33" s="1">
        <f t="shared" si="8"/>
        <v>4.2907638351312128E-3</v>
      </c>
      <c r="D33" s="1">
        <v>4.2907638351312198E-3</v>
      </c>
      <c r="F33">
        <f t="shared" si="2"/>
        <v>3125</v>
      </c>
      <c r="G33">
        <f t="shared" si="3"/>
        <v>0.40906154343617102</v>
      </c>
      <c r="H33">
        <v>25</v>
      </c>
      <c r="I33">
        <f t="shared" si="4"/>
        <v>1937.5</v>
      </c>
      <c r="J33">
        <f t="shared" si="9"/>
        <v>0.253618156930426</v>
      </c>
      <c r="K33">
        <v>375</v>
      </c>
      <c r="L33">
        <v>3500</v>
      </c>
      <c r="M33">
        <f t="shared" si="5"/>
        <v>4.9067674327418015E-2</v>
      </c>
      <c r="N33">
        <f t="shared" si="6"/>
        <v>0.4422886902190013</v>
      </c>
    </row>
    <row r="34" spans="1:14" x14ac:dyDescent="0.25">
      <c r="A34">
        <f t="shared" si="7"/>
        <v>32</v>
      </c>
      <c r="B34">
        <f t="shared" si="7"/>
        <v>7</v>
      </c>
      <c r="C34" s="1">
        <f t="shared" si="8"/>
        <v>-1.5242339915317428E-2</v>
      </c>
      <c r="D34" s="1">
        <v>-1.5242339915317401E-2</v>
      </c>
      <c r="F34">
        <f t="shared" si="2"/>
        <v>3125</v>
      </c>
      <c r="G34">
        <f t="shared" si="3"/>
        <v>0.40906154343617102</v>
      </c>
      <c r="H34">
        <v>25</v>
      </c>
      <c r="I34">
        <f t="shared" si="4"/>
        <v>1937.5</v>
      </c>
      <c r="J34">
        <f t="shared" si="9"/>
        <v>0.253618156930426</v>
      </c>
      <c r="K34">
        <v>375</v>
      </c>
      <c r="L34">
        <v>3500</v>
      </c>
      <c r="M34">
        <f t="shared" si="5"/>
        <v>4.9067674327418015E-2</v>
      </c>
      <c r="N34">
        <f t="shared" si="6"/>
        <v>0.4422886902190013</v>
      </c>
    </row>
    <row r="35" spans="1:14" x14ac:dyDescent="0.25">
      <c r="A35">
        <f t="shared" si="7"/>
        <v>33</v>
      </c>
      <c r="B35">
        <f t="shared" si="7"/>
        <v>8</v>
      </c>
      <c r="C35" s="1">
        <f t="shared" si="8"/>
        <v>-2.7621863729480788E-2</v>
      </c>
      <c r="D35" s="1">
        <v>-2.7621863729480799E-2</v>
      </c>
      <c r="F35">
        <f t="shared" si="2"/>
        <v>3125</v>
      </c>
      <c r="G35">
        <f t="shared" si="3"/>
        <v>0.40906154343617102</v>
      </c>
      <c r="H35">
        <v>25</v>
      </c>
      <c r="I35">
        <f t="shared" si="4"/>
        <v>1937.5</v>
      </c>
      <c r="J35">
        <f t="shared" si="9"/>
        <v>0.253618156930426</v>
      </c>
      <c r="K35">
        <v>375</v>
      </c>
      <c r="L35">
        <v>3500</v>
      </c>
      <c r="M35">
        <f t="shared" si="5"/>
        <v>4.9067674327418015E-2</v>
      </c>
      <c r="N35">
        <f t="shared" si="6"/>
        <v>0.4422886902190013</v>
      </c>
    </row>
    <row r="36" spans="1:14" x14ac:dyDescent="0.25">
      <c r="A36">
        <f t="shared" si="7"/>
        <v>34</v>
      </c>
      <c r="B36">
        <f t="shared" si="7"/>
        <v>9</v>
      </c>
      <c r="C36" s="1">
        <f t="shared" si="8"/>
        <v>-3.2766961113788254E-2</v>
      </c>
      <c r="D36" s="1">
        <v>-3.2766961113788302E-2</v>
      </c>
      <c r="F36">
        <f t="shared" si="2"/>
        <v>3125</v>
      </c>
      <c r="G36">
        <f t="shared" si="3"/>
        <v>0.40906154343617102</v>
      </c>
      <c r="H36">
        <v>25</v>
      </c>
      <c r="I36">
        <f t="shared" si="4"/>
        <v>1937.5</v>
      </c>
      <c r="J36">
        <f t="shared" si="9"/>
        <v>0.253618156930426</v>
      </c>
      <c r="K36">
        <v>375</v>
      </c>
      <c r="L36">
        <v>3500</v>
      </c>
      <c r="M36">
        <f t="shared" si="5"/>
        <v>4.9067674327418015E-2</v>
      </c>
      <c r="N36">
        <f t="shared" si="6"/>
        <v>0.4422886902190013</v>
      </c>
    </row>
    <row r="37" spans="1:14" x14ac:dyDescent="0.25">
      <c r="A37">
        <f t="shared" si="7"/>
        <v>35</v>
      </c>
      <c r="B37">
        <f t="shared" si="7"/>
        <v>10</v>
      </c>
      <c r="C37" s="1">
        <f t="shared" si="8"/>
        <v>-3.1763322412023703E-2</v>
      </c>
      <c r="D37" s="1">
        <v>-3.1763322412023703E-2</v>
      </c>
      <c r="F37">
        <f t="shared" si="2"/>
        <v>3125</v>
      </c>
      <c r="G37">
        <f t="shared" si="3"/>
        <v>0.40906154343617102</v>
      </c>
      <c r="H37">
        <v>25</v>
      </c>
      <c r="I37">
        <f t="shared" si="4"/>
        <v>1937.5</v>
      </c>
      <c r="J37">
        <f t="shared" si="9"/>
        <v>0.253618156930426</v>
      </c>
      <c r="K37">
        <v>375</v>
      </c>
      <c r="L37">
        <v>3500</v>
      </c>
      <c r="M37">
        <f t="shared" si="5"/>
        <v>4.9067674327418015E-2</v>
      </c>
      <c r="N37">
        <f t="shared" si="6"/>
        <v>0.4422886902190013</v>
      </c>
    </row>
    <row r="38" spans="1:14" x14ac:dyDescent="0.25">
      <c r="A38">
        <f t="shared" si="7"/>
        <v>36</v>
      </c>
      <c r="B38">
        <f t="shared" si="7"/>
        <v>11</v>
      </c>
      <c r="C38" s="1">
        <f t="shared" si="8"/>
        <v>-2.6474471926542568E-2</v>
      </c>
      <c r="D38" s="1">
        <v>-2.6474471926542599E-2</v>
      </c>
      <c r="F38">
        <f t="shared" si="2"/>
        <v>3125</v>
      </c>
      <c r="G38">
        <f t="shared" si="3"/>
        <v>0.40906154343617102</v>
      </c>
      <c r="H38">
        <v>25</v>
      </c>
      <c r="I38">
        <f t="shared" si="4"/>
        <v>1937.5</v>
      </c>
      <c r="J38">
        <f t="shared" si="9"/>
        <v>0.253618156930426</v>
      </c>
      <c r="K38">
        <v>375</v>
      </c>
      <c r="L38">
        <v>3500</v>
      </c>
      <c r="M38">
        <f t="shared" si="5"/>
        <v>4.9067674327418015E-2</v>
      </c>
      <c r="N38">
        <f t="shared" si="6"/>
        <v>0.4422886902190013</v>
      </c>
    </row>
    <row r="39" spans="1:14" x14ac:dyDescent="0.25">
      <c r="A39">
        <f t="shared" si="7"/>
        <v>37</v>
      </c>
      <c r="B39">
        <f t="shared" si="7"/>
        <v>12</v>
      </c>
      <c r="C39" s="1">
        <f t="shared" si="8"/>
        <v>-1.9053931500890138E-2</v>
      </c>
      <c r="D39" s="1">
        <v>-1.90539315008901E-2</v>
      </c>
      <c r="F39">
        <f t="shared" si="2"/>
        <v>3125</v>
      </c>
      <c r="G39">
        <f t="shared" si="3"/>
        <v>0.40906154343617102</v>
      </c>
      <c r="H39">
        <v>25</v>
      </c>
      <c r="I39">
        <f t="shared" si="4"/>
        <v>1937.5</v>
      </c>
      <c r="J39">
        <f t="shared" si="9"/>
        <v>0.253618156930426</v>
      </c>
      <c r="K39">
        <v>375</v>
      </c>
      <c r="L39">
        <v>3500</v>
      </c>
      <c r="M39">
        <f t="shared" si="5"/>
        <v>4.9067674327418015E-2</v>
      </c>
      <c r="N39">
        <f t="shared" si="6"/>
        <v>0.4422886902190013</v>
      </c>
    </row>
    <row r="40" spans="1:14" x14ac:dyDescent="0.25">
      <c r="A40">
        <f t="shared" si="7"/>
        <v>38</v>
      </c>
      <c r="B40">
        <f t="shared" si="7"/>
        <v>13</v>
      </c>
      <c r="C40" s="1">
        <f t="shared" si="8"/>
        <v>-1.1477878169396917E-2</v>
      </c>
      <c r="D40" s="1">
        <v>-1.14778781693969E-2</v>
      </c>
      <c r="F40">
        <f t="shared" si="2"/>
        <v>3125</v>
      </c>
      <c r="G40">
        <f t="shared" si="3"/>
        <v>0.40906154343617102</v>
      </c>
      <c r="H40">
        <v>25</v>
      </c>
      <c r="I40">
        <f t="shared" si="4"/>
        <v>1937.5</v>
      </c>
      <c r="J40">
        <f t="shared" si="9"/>
        <v>0.253618156930426</v>
      </c>
      <c r="K40">
        <v>375</v>
      </c>
      <c r="L40">
        <v>3500</v>
      </c>
      <c r="M40">
        <f t="shared" si="5"/>
        <v>4.9067674327418015E-2</v>
      </c>
      <c r="N40">
        <f t="shared" si="6"/>
        <v>0.4422886902190013</v>
      </c>
    </row>
    <row r="41" spans="1:14" x14ac:dyDescent="0.25">
      <c r="A41">
        <f t="shared" si="7"/>
        <v>39</v>
      </c>
      <c r="B41">
        <f t="shared" si="7"/>
        <v>14</v>
      </c>
      <c r="C41" s="1">
        <f t="shared" si="8"/>
        <v>-5.1988462757762196E-3</v>
      </c>
      <c r="D41" s="1">
        <v>-5.1988462757762196E-3</v>
      </c>
      <c r="F41">
        <f t="shared" si="2"/>
        <v>3125</v>
      </c>
      <c r="G41">
        <f t="shared" si="3"/>
        <v>0.40906154343617102</v>
      </c>
      <c r="H41">
        <v>25</v>
      </c>
      <c r="I41">
        <f t="shared" si="4"/>
        <v>1937.5</v>
      </c>
      <c r="J41">
        <f t="shared" si="9"/>
        <v>0.253618156930426</v>
      </c>
      <c r="K41">
        <v>375</v>
      </c>
      <c r="L41">
        <v>3500</v>
      </c>
      <c r="M41">
        <f t="shared" si="5"/>
        <v>4.9067674327418015E-2</v>
      </c>
      <c r="N41">
        <f t="shared" si="6"/>
        <v>0.4422886902190013</v>
      </c>
    </row>
    <row r="42" spans="1:14" x14ac:dyDescent="0.25">
      <c r="A42">
        <f t="shared" si="7"/>
        <v>40</v>
      </c>
      <c r="B42">
        <f t="shared" si="7"/>
        <v>15</v>
      </c>
      <c r="C42" s="1">
        <f t="shared" si="8"/>
        <v>-9.7925630347280392E-4</v>
      </c>
      <c r="D42" s="1">
        <v>-9.7925630347280306E-4</v>
      </c>
      <c r="F42">
        <f t="shared" si="2"/>
        <v>3125</v>
      </c>
      <c r="G42">
        <f t="shared" si="3"/>
        <v>0.40906154343617102</v>
      </c>
      <c r="H42">
        <v>25</v>
      </c>
      <c r="I42">
        <f t="shared" si="4"/>
        <v>1937.5</v>
      </c>
      <c r="J42">
        <f t="shared" si="9"/>
        <v>0.253618156930426</v>
      </c>
      <c r="K42">
        <v>375</v>
      </c>
      <c r="L42">
        <v>3500</v>
      </c>
      <c r="M42">
        <f t="shared" si="5"/>
        <v>4.9067674327418015E-2</v>
      </c>
      <c r="N42">
        <f t="shared" si="6"/>
        <v>0.4422886902190013</v>
      </c>
    </row>
    <row r="43" spans="1:14" x14ac:dyDescent="0.25">
      <c r="A43">
        <f t="shared" si="7"/>
        <v>41</v>
      </c>
      <c r="B43">
        <f t="shared" si="7"/>
        <v>16</v>
      </c>
      <c r="C43" s="1">
        <f t="shared" si="8"/>
        <v>1.088032872616055E-3</v>
      </c>
      <c r="D43" s="1">
        <v>1.08803287261606E-3</v>
      </c>
      <c r="F43">
        <f t="shared" si="2"/>
        <v>3125</v>
      </c>
      <c r="G43">
        <f t="shared" si="3"/>
        <v>0.40906154343617102</v>
      </c>
      <c r="H43">
        <v>25</v>
      </c>
      <c r="I43">
        <f t="shared" si="4"/>
        <v>1937.5</v>
      </c>
      <c r="J43">
        <f t="shared" si="9"/>
        <v>0.253618156930426</v>
      </c>
      <c r="K43">
        <v>375</v>
      </c>
      <c r="L43">
        <v>3500</v>
      </c>
      <c r="M43">
        <f t="shared" si="5"/>
        <v>4.9067674327418015E-2</v>
      </c>
      <c r="N43">
        <f t="shared" si="6"/>
        <v>0.4422886902190013</v>
      </c>
    </row>
    <row r="44" spans="1:14" x14ac:dyDescent="0.25">
      <c r="A44">
        <f t="shared" si="7"/>
        <v>42</v>
      </c>
      <c r="B44">
        <f t="shared" si="7"/>
        <v>17</v>
      </c>
      <c r="C44" s="1">
        <f t="shared" si="8"/>
        <v>1.4119382685843977E-3</v>
      </c>
      <c r="D44" s="1">
        <v>1.4119382685843999E-3</v>
      </c>
      <c r="F44">
        <f t="shared" si="2"/>
        <v>3125</v>
      </c>
      <c r="G44">
        <f t="shared" si="3"/>
        <v>0.40906154343617102</v>
      </c>
      <c r="H44">
        <v>25</v>
      </c>
      <c r="I44">
        <f t="shared" si="4"/>
        <v>1937.5</v>
      </c>
      <c r="J44">
        <f t="shared" si="9"/>
        <v>0.253618156930426</v>
      </c>
      <c r="K44">
        <v>375</v>
      </c>
      <c r="L44">
        <v>3500</v>
      </c>
      <c r="M44">
        <f t="shared" si="5"/>
        <v>4.9067674327418015E-2</v>
      </c>
      <c r="N44">
        <f t="shared" si="6"/>
        <v>0.4422886902190013</v>
      </c>
    </row>
    <row r="45" spans="1:14" x14ac:dyDescent="0.25">
      <c r="A45">
        <f t="shared" si="7"/>
        <v>43</v>
      </c>
      <c r="B45">
        <f t="shared" si="7"/>
        <v>18</v>
      </c>
      <c r="C45" s="1">
        <f t="shared" si="8"/>
        <v>6.5841021276273691E-4</v>
      </c>
      <c r="D45" s="1">
        <v>6.5841021276273701E-4</v>
      </c>
      <c r="F45">
        <f t="shared" si="2"/>
        <v>3125</v>
      </c>
      <c r="G45">
        <f t="shared" si="3"/>
        <v>0.40906154343617102</v>
      </c>
      <c r="H45">
        <v>25</v>
      </c>
      <c r="I45">
        <f t="shared" si="4"/>
        <v>1937.5</v>
      </c>
      <c r="J45">
        <f t="shared" si="9"/>
        <v>0.253618156930426</v>
      </c>
      <c r="K45">
        <v>375</v>
      </c>
      <c r="L45">
        <v>3500</v>
      </c>
      <c r="M45">
        <f t="shared" si="5"/>
        <v>4.9067674327418015E-2</v>
      </c>
      <c r="N45">
        <f t="shared" si="6"/>
        <v>0.4422886902190013</v>
      </c>
    </row>
    <row r="46" spans="1:14" x14ac:dyDescent="0.25">
      <c r="A46">
        <f t="shared" si="7"/>
        <v>44</v>
      </c>
      <c r="B46">
        <f t="shared" si="7"/>
        <v>19</v>
      </c>
      <c r="C46" s="1">
        <f t="shared" si="8"/>
        <v>-4.9329345846595271E-4</v>
      </c>
      <c r="D46" s="1">
        <v>-4.9329345846595304E-4</v>
      </c>
      <c r="F46">
        <f t="shared" si="2"/>
        <v>3125</v>
      </c>
      <c r="G46">
        <f t="shared" si="3"/>
        <v>0.40906154343617102</v>
      </c>
      <c r="H46">
        <v>25</v>
      </c>
      <c r="I46">
        <f t="shared" si="4"/>
        <v>1937.5</v>
      </c>
      <c r="J46">
        <f t="shared" si="9"/>
        <v>0.253618156930426</v>
      </c>
      <c r="K46">
        <v>375</v>
      </c>
      <c r="L46">
        <v>3500</v>
      </c>
      <c r="M46">
        <f t="shared" si="5"/>
        <v>4.9067674327418015E-2</v>
      </c>
      <c r="N46">
        <f t="shared" si="6"/>
        <v>0.4422886902190013</v>
      </c>
    </row>
    <row r="47" spans="1:14" x14ac:dyDescent="0.25">
      <c r="A47">
        <f t="shared" si="7"/>
        <v>45</v>
      </c>
      <c r="B47">
        <f t="shared" si="7"/>
        <v>20</v>
      </c>
      <c r="C47" s="1">
        <f t="shared" si="8"/>
        <v>-1.5298076193085372E-3</v>
      </c>
      <c r="D47" s="1">
        <v>-1.52980761930854E-3</v>
      </c>
      <c r="F47">
        <f t="shared" si="2"/>
        <v>3125</v>
      </c>
      <c r="G47">
        <f t="shared" si="3"/>
        <v>0.40906154343617102</v>
      </c>
      <c r="H47">
        <v>25</v>
      </c>
      <c r="I47">
        <f t="shared" si="4"/>
        <v>1937.5</v>
      </c>
      <c r="J47">
        <f t="shared" si="9"/>
        <v>0.253618156930426</v>
      </c>
      <c r="K47">
        <v>375</v>
      </c>
      <c r="L47">
        <v>3500</v>
      </c>
      <c r="M47">
        <f t="shared" si="5"/>
        <v>4.9067674327418015E-2</v>
      </c>
      <c r="N47">
        <f t="shared" si="6"/>
        <v>0.4422886902190013</v>
      </c>
    </row>
    <row r="48" spans="1:14" x14ac:dyDescent="0.25">
      <c r="A48">
        <f t="shared" si="7"/>
        <v>46</v>
      </c>
      <c r="B48">
        <f t="shared" si="7"/>
        <v>21</v>
      </c>
      <c r="C48" s="1">
        <f t="shared" si="8"/>
        <v>-2.1846635524782471E-3</v>
      </c>
      <c r="D48" s="1">
        <v>-2.1846635524782501E-3</v>
      </c>
      <c r="F48">
        <f t="shared" si="2"/>
        <v>3125</v>
      </c>
      <c r="G48">
        <f t="shared" si="3"/>
        <v>0.40906154343617102</v>
      </c>
      <c r="H48">
        <v>25</v>
      </c>
      <c r="I48">
        <f t="shared" si="4"/>
        <v>1937.5</v>
      </c>
      <c r="J48">
        <f t="shared" si="9"/>
        <v>0.253618156930426</v>
      </c>
      <c r="K48">
        <v>375</v>
      </c>
      <c r="L48">
        <v>3500</v>
      </c>
      <c r="M48">
        <f t="shared" si="5"/>
        <v>4.9067674327418015E-2</v>
      </c>
      <c r="N48">
        <f t="shared" si="6"/>
        <v>0.4422886902190013</v>
      </c>
    </row>
    <row r="49" spans="1:14" x14ac:dyDescent="0.25">
      <c r="A49">
        <f t="shared" si="7"/>
        <v>47</v>
      </c>
      <c r="B49">
        <f t="shared" si="7"/>
        <v>22</v>
      </c>
      <c r="C49" s="1">
        <f t="shared" si="8"/>
        <v>-2.4221626564258263E-3</v>
      </c>
      <c r="D49" s="1">
        <v>-2.4221626564258198E-3</v>
      </c>
      <c r="F49">
        <f t="shared" si="2"/>
        <v>3125</v>
      </c>
      <c r="G49">
        <f t="shared" si="3"/>
        <v>0.40906154343617102</v>
      </c>
      <c r="H49">
        <v>25</v>
      </c>
      <c r="I49">
        <f t="shared" si="4"/>
        <v>1937.5</v>
      </c>
      <c r="J49">
        <f t="shared" si="9"/>
        <v>0.253618156930426</v>
      </c>
      <c r="K49">
        <v>375</v>
      </c>
      <c r="L49">
        <v>3500</v>
      </c>
      <c r="M49">
        <f t="shared" si="5"/>
        <v>4.9067674327418015E-2</v>
      </c>
      <c r="N49">
        <f t="shared" si="6"/>
        <v>0.4422886902190013</v>
      </c>
    </row>
    <row r="50" spans="1:14" x14ac:dyDescent="0.25">
      <c r="A50">
        <f t="shared" si="7"/>
        <v>48</v>
      </c>
      <c r="B50">
        <f t="shared" si="7"/>
        <v>23</v>
      </c>
      <c r="C50" s="1">
        <f t="shared" si="8"/>
        <v>-2.3540339596945141E-3</v>
      </c>
      <c r="D50" s="1">
        <v>-2.3540339596945098E-3</v>
      </c>
      <c r="F50">
        <f t="shared" si="2"/>
        <v>3125</v>
      </c>
      <c r="G50">
        <f t="shared" si="3"/>
        <v>0.40906154343617102</v>
      </c>
      <c r="H50">
        <v>25</v>
      </c>
      <c r="I50">
        <f t="shared" si="4"/>
        <v>1937.5</v>
      </c>
      <c r="J50">
        <f t="shared" si="9"/>
        <v>0.253618156930426</v>
      </c>
      <c r="K50">
        <v>375</v>
      </c>
      <c r="L50">
        <v>3500</v>
      </c>
      <c r="M50">
        <f t="shared" si="5"/>
        <v>4.9067674327418015E-2</v>
      </c>
      <c r="N50">
        <f t="shared" si="6"/>
        <v>0.4422886902190013</v>
      </c>
    </row>
    <row r="51" spans="1:14" x14ac:dyDescent="0.25">
      <c r="A51">
        <f t="shared" si="7"/>
        <v>49</v>
      </c>
      <c r="B51">
        <f t="shared" si="7"/>
        <v>24</v>
      </c>
      <c r="C51" s="1">
        <f t="shared" si="8"/>
        <v>-2.1338530607174062E-3</v>
      </c>
      <c r="D51" s="1">
        <v>-2.1338530607174101E-3</v>
      </c>
      <c r="F51">
        <f t="shared" si="2"/>
        <v>3125</v>
      </c>
      <c r="G51">
        <f t="shared" si="3"/>
        <v>0.40906154343617102</v>
      </c>
      <c r="H51">
        <v>25</v>
      </c>
      <c r="I51">
        <f t="shared" si="4"/>
        <v>1937.5</v>
      </c>
      <c r="J51">
        <f t="shared" si="9"/>
        <v>0.253618156930426</v>
      </c>
      <c r="K51">
        <v>375</v>
      </c>
      <c r="L51">
        <v>3500</v>
      </c>
      <c r="M51">
        <f t="shared" si="5"/>
        <v>4.9067674327418015E-2</v>
      </c>
      <c r="N51">
        <f t="shared" si="6"/>
        <v>0.4422886902190013</v>
      </c>
    </row>
    <row r="52" spans="1:14" x14ac:dyDescent="0.25">
      <c r="A52">
        <f t="shared" si="7"/>
        <v>50</v>
      </c>
      <c r="B52">
        <f t="shared" si="7"/>
        <v>25</v>
      </c>
      <c r="C52" s="1">
        <f t="shared" si="8"/>
        <v>-1.8725959824129449E-3</v>
      </c>
      <c r="D52" s="1">
        <v>-1.8725959824129499E-3</v>
      </c>
      <c r="F52">
        <f t="shared" si="2"/>
        <v>3125</v>
      </c>
      <c r="G52">
        <f t="shared" si="3"/>
        <v>0.40906154343617102</v>
      </c>
      <c r="H52">
        <v>25</v>
      </c>
      <c r="I52">
        <f t="shared" si="4"/>
        <v>1937.5</v>
      </c>
      <c r="J52">
        <f t="shared" si="9"/>
        <v>0.253618156930426</v>
      </c>
      <c r="K52">
        <v>375</v>
      </c>
      <c r="L52">
        <v>3500</v>
      </c>
      <c r="M52">
        <f t="shared" si="5"/>
        <v>4.9067674327418015E-2</v>
      </c>
      <c r="N52">
        <f t="shared" si="6"/>
        <v>0.4422886902190013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LowPass Coeffs</vt:lpstr>
      <vt:lpstr>HighPass Coeffs</vt:lpstr>
      <vt:lpstr>BandPass Coeffs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ricagni</dc:creator>
  <cp:lastModifiedBy>luca ricagni</cp:lastModifiedBy>
  <dcterms:created xsi:type="dcterms:W3CDTF">2020-04-07T16:26:14Z</dcterms:created>
  <dcterms:modified xsi:type="dcterms:W3CDTF">2020-04-22T10:41:22Z</dcterms:modified>
</cp:coreProperties>
</file>